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ote Calculator" sheetId="1" r:id="rId4"/>
    <sheet state="visible" name="Pricing Matrix" sheetId="2" r:id="rId5"/>
    <sheet state="visible" name="Ingredient Catalog" sheetId="3" r:id="rId6"/>
    <sheet state="visible" name="Lab Testing Prices" sheetId="4" r:id="rId7"/>
    <sheet state="visible" name="Quote Template"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Calculated from pricing table. Figure that out later.</t>
      </text>
    </comment>
  </commentList>
</comments>
</file>

<file path=xl/sharedStrings.xml><?xml version="1.0" encoding="utf-8"?>
<sst xmlns="http://schemas.openxmlformats.org/spreadsheetml/2006/main" count="10390" uniqueCount="3541">
  <si>
    <t>Unit Description</t>
  </si>
  <si>
    <t>Units/Order</t>
  </si>
  <si>
    <t>Ingredients</t>
  </si>
  <si>
    <t>Stick Pack Film</t>
  </si>
  <si>
    <t>Carton</t>
  </si>
  <si>
    <t>Blending</t>
  </si>
  <si>
    <t>Filling</t>
  </si>
  <si>
    <t>Kitting / Tolling</t>
  </si>
  <si>
    <t>Master Case</t>
  </si>
  <si>
    <t>Testing</t>
  </si>
  <si>
    <t>Stick pack Total Cost</t>
  </si>
  <si>
    <t>Unit Multiplier</t>
  </si>
  <si>
    <t>Unit Cost</t>
  </si>
  <si>
    <t>Vendor Helper</t>
  </si>
  <si>
    <t>Retail Price</t>
  </si>
  <si>
    <t>Red</t>
  </si>
  <si>
    <t>Yellow</t>
  </si>
  <si>
    <t>Green</t>
  </si>
  <si>
    <t>Target Costs</t>
  </si>
  <si>
    <t>Greater than 25% of Retail</t>
  </si>
  <si>
    <t>20-25% of Retail</t>
  </si>
  <si>
    <t>less than 20% of Retail</t>
  </si>
  <si>
    <t>Margin on Project (COGS/ Our Price)</t>
  </si>
  <si>
    <t>less than 15%</t>
  </si>
  <si>
    <t>15-25</t>
  </si>
  <si>
    <t>25+</t>
  </si>
  <si>
    <t>Daily Tolling Sales</t>
  </si>
  <si>
    <t>less than $5k</t>
  </si>
  <si>
    <t>$5k-8k</t>
  </si>
  <si>
    <t>$8k+</t>
  </si>
  <si>
    <t>Annual Tolling</t>
  </si>
  <si>
    <t>less than $50k</t>
  </si>
  <si>
    <t>50-250k</t>
  </si>
  <si>
    <t>250k+</t>
  </si>
  <si>
    <t>Stick Pack</t>
  </si>
  <si>
    <t>Capsule</t>
  </si>
  <si>
    <t>- Powder Container</t>
  </si>
  <si>
    <t>- Liquid Bottle</t>
  </si>
  <si>
    <t>- Liquid Sachet</t>
  </si>
  <si>
    <t>- Powder Pouch</t>
  </si>
  <si>
    <t>SKU</t>
  </si>
  <si>
    <t>Serving Weight (g)</t>
  </si>
  <si>
    <t>Servings Per Container</t>
  </si>
  <si>
    <t>Unit Weight (g)</t>
  </si>
  <si>
    <t>Average Fill % (Varience)</t>
  </si>
  <si>
    <t>Average Fill Weight</t>
  </si>
  <si>
    <t>Number of Units</t>
  </si>
  <si>
    <t>Shrink in Shipping%</t>
  </si>
  <si>
    <t>Shrink in MFG%</t>
  </si>
  <si>
    <t>Planned Usage per Unit (g)</t>
  </si>
  <si>
    <t>Batch Size per SKU</t>
  </si>
  <si>
    <t>Average Freight per KG</t>
  </si>
  <si>
    <t>Nature Made Multivitamin for Him, 90 Tablet</t>
  </si>
  <si>
    <t>Ingredient Markup</t>
  </si>
  <si>
    <t>Total Batch Size (KG)</t>
  </si>
  <si>
    <t>Vendor</t>
  </si>
  <si>
    <t>Potency %</t>
  </si>
  <si>
    <t>Label Claim, mg/serving</t>
  </si>
  <si>
    <t>Overage %</t>
  </si>
  <si>
    <t>Input Required for label claim, mg</t>
  </si>
  <si>
    <t>R1</t>
  </si>
  <si>
    <t>R2</t>
  </si>
  <si>
    <t>R3</t>
  </si>
  <si>
    <t>R4</t>
  </si>
  <si>
    <t>Ingredient Quote Date</t>
  </si>
  <si>
    <t>amount needed</t>
  </si>
  <si>
    <t>Percent</t>
  </si>
  <si>
    <t>Cost per Kg</t>
  </si>
  <si>
    <t>Cost per Unit (SKU 1 with markup and Freight)</t>
  </si>
  <si>
    <t>MOQ</t>
  </si>
  <si>
    <t>Order for batch</t>
  </si>
  <si>
    <t>Initial Investment/ Total Cost</t>
  </si>
  <si>
    <t>Batch Cost</t>
  </si>
  <si>
    <t>Supplier/ Brand of item</t>
  </si>
  <si>
    <t>Supplier Contact</t>
  </si>
  <si>
    <t>Material Spec Sheet</t>
  </si>
  <si>
    <t>Ordered On</t>
  </si>
  <si>
    <t>Vitamin C</t>
  </si>
  <si>
    <t>-</t>
  </si>
  <si>
    <t>ETA</t>
  </si>
  <si>
    <t>Total</t>
  </si>
  <si>
    <t>Sku 1</t>
  </si>
  <si>
    <t>Total Investment</t>
  </si>
  <si>
    <t>Ingredient Cost per KG</t>
  </si>
  <si>
    <t>Plus Markup</t>
  </si>
  <si>
    <t>Plus Freight</t>
  </si>
  <si>
    <t>Total Ingredient Cost/kg</t>
  </si>
  <si>
    <t>Total Cost/Unit</t>
  </si>
  <si>
    <t>Weight (g)</t>
  </si>
  <si>
    <t>Liquid Blending Rate per kg</t>
  </si>
  <si>
    <t>Qty</t>
  </si>
  <si>
    <t>Powder Blend per KG</t>
  </si>
  <si>
    <t>Stick Pack Kitting — Tolling (USD per Stick)</t>
  </si>
  <si>
    <t>Units per pack Single Flavor Pack</t>
  </si>
  <si>
    <t>NA</t>
  </si>
  <si>
    <t>Fold Bottom Carton</t>
  </si>
  <si>
    <t>Auto Bottom Carton</t>
  </si>
  <si>
    <t>Gusset Pouch</t>
  </si>
  <si>
    <t>2 flavors</t>
  </si>
  <si>
    <t>3 flavors</t>
  </si>
  <si>
    <t>4 flavors</t>
  </si>
  <si>
    <t>5 Flavors</t>
  </si>
  <si>
    <t>6 flavors</t>
  </si>
  <si>
    <t>7 Flavors</t>
  </si>
  <si>
    <t>8 Flavors</t>
  </si>
  <si>
    <t>9 Flavors</t>
  </si>
  <si>
    <t>10 Flavors</t>
  </si>
  <si>
    <t>11 Flavors</t>
  </si>
  <si>
    <t>12 Flavors</t>
  </si>
  <si>
    <t>Additional cost per stick for variety packs stick (all formats and qtys)</t>
  </si>
  <si>
    <t>Capsules – Size 0</t>
  </si>
  <si>
    <t>Capsule Count</t>
  </si>
  <si>
    <t>Capsule Type</t>
  </si>
  <si>
    <t>Size</t>
  </si>
  <si>
    <t>Embocaps AP 60 (Delayed Release)</t>
  </si>
  <si>
    <t>000*</t>
  </si>
  <si>
    <t>00E*</t>
  </si>
  <si>
    <t>0E*</t>
  </si>
  <si>
    <t>Capsules – Size 00</t>
  </si>
  <si>
    <t>(Tolling rates for larger “00” capsules are slightly higher to account for increased size – approximately 10% premium over Size 0 rates.)</t>
  </si>
  <si>
    <t>Gelatin</t>
  </si>
  <si>
    <t>00FL</t>
  </si>
  <si>
    <t>00E</t>
  </si>
  <si>
    <t>0FL</t>
  </si>
  <si>
    <t>0E</t>
  </si>
  <si>
    <t>Shrink Sleeve Pricing Matrix</t>
  </si>
  <si>
    <t>1E</t>
  </si>
  <si>
    <t>Pill Packer</t>
  </si>
  <si>
    <t>0-16oz Container</t>
  </si>
  <si>
    <t>1S</t>
  </si>
  <si>
    <t>17oz - 32oz Container</t>
  </si>
  <si>
    <t>Master Case Pricing Matrix</t>
  </si>
  <si>
    <t>Pill Packer With Divider</t>
  </si>
  <si>
    <t>Pill Packer With Divider - $0.155</t>
  </si>
  <si>
    <t>Pill Packer No Divider</t>
  </si>
  <si>
    <t>Pill Packer No Divider - $0.069</t>
  </si>
  <si>
    <t>HPMC VG Alpha</t>
  </si>
  <si>
    <t>Stick Pack Bulk</t>
  </si>
  <si>
    <t>Stick Pack Bulk - $0.004</t>
  </si>
  <si>
    <t>Stick Pack Kitted</t>
  </si>
  <si>
    <t>Stick Pack Kitted - $0.014</t>
  </si>
  <si>
    <t>Powder Container 0-16oz</t>
  </si>
  <si>
    <t>Powder Container 0-16oz - $0.083</t>
  </si>
  <si>
    <t>Powder Container 17-32oz</t>
  </si>
  <si>
    <t>Powder Container 17-32oz - $0.165</t>
  </si>
  <si>
    <t>Liquid Bottle 1-2oz</t>
  </si>
  <si>
    <t>Liquid Bottle 1-2oz - $0.017</t>
  </si>
  <si>
    <t>Liquid Bottle 3-4oz</t>
  </si>
  <si>
    <t>Liquid Bottle 3-4oz - $0.025</t>
  </si>
  <si>
    <t>Liquid Bottle 5-8oz</t>
  </si>
  <si>
    <t>Liquid Bottle 5-8oz - $0.042</t>
  </si>
  <si>
    <t>Liquid Sachet Liquid Sachet Bulk</t>
  </si>
  <si>
    <t>Liquid Sachet Liquid Sachet Bulk - $0.008</t>
  </si>
  <si>
    <t>Liquid Sachet Kitted</t>
  </si>
  <si>
    <t>Liquid Sachet Kitted - $0.028</t>
  </si>
  <si>
    <t>HPMC VG Pro</t>
  </si>
  <si>
    <t>Absorbtion Pricing Matrix</t>
  </si>
  <si>
    <t>Desiccant Only</t>
  </si>
  <si>
    <t>Desiccant Only - $0.03</t>
  </si>
  <si>
    <t>Cotton Only</t>
  </si>
  <si>
    <t>Cotton Only - $0.01</t>
  </si>
  <si>
    <t>Desiccant and Cotton</t>
  </si>
  <si>
    <t>Desiccant and Cotton - $0.04</t>
  </si>
  <si>
    <t>Powder Containers — Tolling (per container)</t>
  </si>
  <si>
    <t>(Metric labels; same pricing as before—just converted the sizes. “kg” shown where helpful.)</t>
  </si>
  <si>
    <t>Fill Weight</t>
  </si>
  <si>
    <t>60 g (0.06 kg)</t>
  </si>
  <si>
    <t>120 g (0.12 kg)</t>
  </si>
  <si>
    <t>227 g (0.227 kg)</t>
  </si>
  <si>
    <t>454 g (0.454 kg)</t>
  </si>
  <si>
    <t>Liquid Sachets — Tolling (USD per sachet)</t>
  </si>
  <si>
    <t>Fill (g)</t>
  </si>
  <si>
    <t>10 g</t>
  </si>
  <si>
    <t>20 g</t>
  </si>
  <si>
    <t>30 g</t>
  </si>
  <si>
    <t>60 g</t>
  </si>
  <si>
    <t>90 g</t>
  </si>
  <si>
    <t>Liquid Bottles — Tolling (USD per bottle)</t>
  </si>
  <si>
    <t>Fill (oz)</t>
  </si>
  <si>
    <t>1 oz</t>
  </si>
  <si>
    <t>2 oz</t>
  </si>
  <si>
    <t>3 oz</t>
  </si>
  <si>
    <t>4 oz</t>
  </si>
  <si>
    <t>5 oz</t>
  </si>
  <si>
    <t>6 oz</t>
  </si>
  <si>
    <t>7 oz</t>
  </si>
  <si>
    <t>8 oz</t>
  </si>
  <si>
    <t>9 oz</t>
  </si>
  <si>
    <t>10 oz</t>
  </si>
  <si>
    <t>Ingredient</t>
  </si>
  <si>
    <t>Trade Name</t>
  </si>
  <si>
    <t>Vendor Name</t>
  </si>
  <si>
    <t>Category</t>
  </si>
  <si>
    <t>Column1</t>
  </si>
  <si>
    <t>Price/kg</t>
  </si>
  <si>
    <t>MOQ (Minimum Order Quantity)</t>
  </si>
  <si>
    <t>Quote Date (Link If applicable)</t>
  </si>
  <si>
    <t>Spec/COA Link</t>
  </si>
  <si>
    <t>Potency</t>
  </si>
  <si>
    <t>Bovine collagen HCP-A</t>
  </si>
  <si>
    <t>Pacific Bridge</t>
  </si>
  <si>
    <t>collagens/proteins</t>
  </si>
  <si>
    <t>Bovine collagen HCP-A - Pacific Bridge</t>
  </si>
  <si>
    <t>Coconut Milk Powder 26% Fat 13138 (50lb bag)</t>
  </si>
  <si>
    <t>Invico (Covico)</t>
  </si>
  <si>
    <t>oils/fats</t>
  </si>
  <si>
    <t>45.36kg</t>
  </si>
  <si>
    <t>Invico (Covico) - Coconut Milk Powder 26% Fat 13138 (50lb bag)</t>
  </si>
  <si>
    <t>Grape Seed P.E. 95%</t>
  </si>
  <si>
    <t>Pure Assay</t>
  </si>
  <si>
    <t>adaptogens/greens/botanicals/fruits/mushrooms/herbs</t>
  </si>
  <si>
    <t>1kg</t>
  </si>
  <si>
    <t>Pure Assay - Grape Seed P.E. 95%</t>
  </si>
  <si>
    <t>Pine Bark P.E. 95% (Proanthocyanidins)</t>
  </si>
  <si>
    <t>Pure Assay - Pine Bark P.E. 95% (Proanthocyanidins)</t>
  </si>
  <si>
    <t>2’fl HMO</t>
  </si>
  <si>
    <t>IFF - Health &amp; Bioscience Ingredients</t>
  </si>
  <si>
    <t>supplements/vitamins</t>
  </si>
  <si>
    <t>20kg</t>
  </si>
  <si>
    <t>IFF - Health &amp; Bioscience Ingredients - 2’fl HMO</t>
  </si>
  <si>
    <t>42DE</t>
  </si>
  <si>
    <t>Food Ingredients</t>
  </si>
  <si>
    <t>Call for Price</t>
  </si>
  <si>
    <t>3000 lbs (1,360.7771 kg)</t>
  </si>
  <si>
    <t>Food Ingredients - 42DE</t>
  </si>
  <si>
    <t>42DE - A136350 (3,000 lbs)</t>
  </si>
  <si>
    <t>sweeteners</t>
  </si>
  <si>
    <t>Call for px</t>
  </si>
  <si>
    <t>3000 lbs</t>
  </si>
  <si>
    <t>Food Ingredients - 42DE - A136350 (3,000 lbs)</t>
  </si>
  <si>
    <t>5 HTP/Griffonia Seed P.E. 98%</t>
  </si>
  <si>
    <t>Probioway</t>
  </si>
  <si>
    <t>1/0/1900</t>
  </si>
  <si>
    <t>Probioway - 5 HTP/Griffonia Seed P.E. 98%</t>
  </si>
  <si>
    <t>5-Methyl-7-Methoxy Isoflavone</t>
  </si>
  <si>
    <t>Probioway - 5-Methyl-7-Methoxy Isoflavone</t>
  </si>
  <si>
    <t>80 Mesh Vegan KSM-66 Ashwagandha (25kg pack)</t>
  </si>
  <si>
    <t>Live One Naturals</t>
  </si>
  <si>
    <t>25kg</t>
  </si>
  <si>
    <t>80 Mesh Vegan KSM-66 Ashwagandha</t>
  </si>
  <si>
    <t>Live One Naturals - 80 Mesh Vegan KSM-66 Ashwagandha (25kg pack)</t>
  </si>
  <si>
    <t>95% Psyllium- 80 mesh Steam Sterilized (25kg carton)</t>
  </si>
  <si>
    <t>JRS USA</t>
  </si>
  <si>
    <t>40 lb</t>
  </si>
  <si>
    <t>95% Psyllium- 80 mesh Steam Sterilized</t>
  </si>
  <si>
    <t>JRS USA - 95% Psyllium- 80 mesh Steam Sterilized (25kg carton)</t>
  </si>
  <si>
    <t>A2 Organic Grade A Nonfat Dry Milk</t>
  </si>
  <si>
    <t>NP Nutra</t>
  </si>
  <si>
    <t>10,000 lbs</t>
  </si>
  <si>
    <t>NP Nutra - A2 Organic Grade A Nonfat Dry Milk</t>
  </si>
  <si>
    <t>A2 Organic Grade A Whole Milk Powder</t>
  </si>
  <si>
    <t>NP Nutra - A2 Organic Grade A Whole Milk Powder</t>
  </si>
  <si>
    <t>A2 Whole Milk Powder (55 lb bags)</t>
  </si>
  <si>
    <t>NP Nutra - A2 Whole Milk Powder (55 lb bags)</t>
  </si>
  <si>
    <t>Acacia Gum</t>
  </si>
  <si>
    <t>TIC</t>
  </si>
  <si>
    <t>Ingredion</t>
  </si>
  <si>
    <t>50 lbs (22.68 kg)</t>
  </si>
  <si>
    <t>TIC Gum Arabic</t>
  </si>
  <si>
    <t>Ingredion - Acacia Gum</t>
  </si>
  <si>
    <t>Acacia Gum (code - 21417-58448) (25kg bag)</t>
  </si>
  <si>
    <t>Stauber</t>
  </si>
  <si>
    <t>50kg</t>
  </si>
  <si>
    <t>Acacia Gum (21417-58448)</t>
  </si>
  <si>
    <t>Stauber - Acacia Gum (code - 21417-58448) (25kg bag)</t>
  </si>
  <si>
    <t>Acetyl L-Carnitine</t>
  </si>
  <si>
    <t>Fifth NutriSupply</t>
  </si>
  <si>
    <t>energy</t>
  </si>
  <si>
    <t>1000kg</t>
  </si>
  <si>
    <t>Fifth NutriSupply - Acetyl L-Carnitine</t>
  </si>
  <si>
    <t>Acetyl L-Carnitine HCl</t>
  </si>
  <si>
    <t>Pure Assay - Acetyl L-Carnitine HCl</t>
  </si>
  <si>
    <t>Activsoft S (PID# 18167)</t>
  </si>
  <si>
    <t>LBB Specialties</t>
  </si>
  <si>
    <t>Other</t>
  </si>
  <si>
    <t>Activsoft</t>
  </si>
  <si>
    <t>LBB Specialties - Activsoft S (PID# 18167)</t>
  </si>
  <si>
    <t>Adenosine 5'-Monophosphate Disodium Salt</t>
  </si>
  <si>
    <t>Pure Assay - Adenosine 5'-Monophosphate Disodium Salt</t>
  </si>
  <si>
    <t>Affron Saffron Extract</t>
  </si>
  <si>
    <t>Gencor</t>
  </si>
  <si>
    <t>Gencor - Affron Saffron Extract</t>
  </si>
  <si>
    <t>Agmatine Sulfate</t>
  </si>
  <si>
    <t>Pure Assay - Agmatine Sulfate</t>
  </si>
  <si>
    <t>Alcolec H20 Sunflower Lecithin (20 kg box)</t>
  </si>
  <si>
    <t>American Lecithin</t>
  </si>
  <si>
    <t>Alcolec H20 Sunflower Lecithin</t>
  </si>
  <si>
    <t>American Lecithin - Alcolec H20 Sunflower Lecithin (20 kg box)</t>
  </si>
  <si>
    <t>480kg</t>
  </si>
  <si>
    <t>5760kg</t>
  </si>
  <si>
    <t>Alfalfa Grass</t>
  </si>
  <si>
    <t>NP Nutra - Alfalfa Grass</t>
  </si>
  <si>
    <t>AllSWEET® Allulose Crystalline Powder - 25kg</t>
  </si>
  <si>
    <t>Andersen Advanced Ingredients</t>
  </si>
  <si>
    <t>Andersen Advanced Ingredients - AllSWEET® Allulose Crystalline Powder - 25kg</t>
  </si>
  <si>
    <t>Allulose</t>
  </si>
  <si>
    <t>Andersen Advanced Ingredients - Allulose</t>
  </si>
  <si>
    <t>Alpha GPC</t>
  </si>
  <si>
    <t>Fifth NutriSupply - Alpha GPC</t>
  </si>
  <si>
    <t>Alpha GPC 50%</t>
  </si>
  <si>
    <t>Pure Assay - Alpha GPC 50%</t>
  </si>
  <si>
    <t>Alpha GPC 98%</t>
  </si>
  <si>
    <t>5kg</t>
  </si>
  <si>
    <t>Alpha GPC 98% (5kg bag)</t>
  </si>
  <si>
    <t>Pure Assay - Alpha GPC 98%</t>
  </si>
  <si>
    <t>Alpha Ketoglutaric Acid</t>
  </si>
  <si>
    <t>Pure Assay - Alpha GPC 98% (5kg bag)</t>
  </si>
  <si>
    <t>Alpha Lipoic Acid</t>
  </si>
  <si>
    <t>Pure Assay - Alpha Ketoglutaric Acid</t>
  </si>
  <si>
    <t>Alpha Lipoic Acid granular</t>
  </si>
  <si>
    <t>Forward Farma</t>
  </si>
  <si>
    <t>Forward Farma - Alpha Lipoic Acid</t>
  </si>
  <si>
    <t>Alpha-GPC 50%</t>
  </si>
  <si>
    <t>Pure Assay - Alpha Lipoic Acid</t>
  </si>
  <si>
    <t>Alpha-GPC 99%</t>
  </si>
  <si>
    <t>Forward Farma - Alpha Lipoic Acid granular</t>
  </si>
  <si>
    <t>Alpha-Lipoic Acid</t>
  </si>
  <si>
    <t>HD Nutrition</t>
  </si>
  <si>
    <t>HD Nutrition - Alpha-GPC 50%</t>
  </si>
  <si>
    <t>AncienTrim</t>
  </si>
  <si>
    <t>HD Nutrition - Alpha-GPC 99%</t>
  </si>
  <si>
    <t>Anhydrous Dextrose - A47550 (50 lbs)</t>
  </si>
  <si>
    <t>salts/electrolytes/acids/minerals</t>
  </si>
  <si>
    <t>HD Nutrition - Alpha-Lipoic Acid</t>
  </si>
  <si>
    <t>Apegenin 98%</t>
  </si>
  <si>
    <t>Future Ceuticals</t>
  </si>
  <si>
    <t>Future Ceuticals - AncienTrim</t>
  </si>
  <si>
    <t>Apigenin</t>
  </si>
  <si>
    <t>22.7kg</t>
  </si>
  <si>
    <t>Food Ingredients - Anhydrous Dextrose - A47550 (50 lbs)</t>
  </si>
  <si>
    <t>Apigenin 98%</t>
  </si>
  <si>
    <t>Jiaherb</t>
  </si>
  <si>
    <t>Jiaherb - Apegenin 98%</t>
  </si>
  <si>
    <t>Apple Cider Vinegar - 5% Acetic Acid</t>
  </si>
  <si>
    <t>100kg</t>
  </si>
  <si>
    <t>Apple Juice Powder</t>
  </si>
  <si>
    <t>HD Nutrition - Apigenin</t>
  </si>
  <si>
    <t>M Nutra</t>
  </si>
  <si>
    <t>10kg</t>
  </si>
  <si>
    <t>M Nutra - Apigenin 98%</t>
  </si>
  <si>
    <t>Apple Pectin</t>
  </si>
  <si>
    <t>Phyhuir</t>
  </si>
  <si>
    <t>Phyhuir - Apigenin 98%</t>
  </si>
  <si>
    <t>Arrabina L Arabinoxylan</t>
  </si>
  <si>
    <t>Comext Nutrition Inc.</t>
  </si>
  <si>
    <t>25 kg</t>
  </si>
  <si>
    <t>Comext Nutrition Inc. - Apple Cider Vinegar - 5% Acetic Acid</t>
  </si>
  <si>
    <t>Artichoke Leaf P.E. 4:1</t>
  </si>
  <si>
    <t>IMCDUS</t>
  </si>
  <si>
    <t>113.4 kg</t>
  </si>
  <si>
    <t>IMCDUS - Apple Juice Powder</t>
  </si>
  <si>
    <t>Ascorbic Acid (40-80 mesh)</t>
  </si>
  <si>
    <t>Jiaherb - Apple Juice Powder</t>
  </si>
  <si>
    <t>Ascorbic Acid (C)</t>
  </si>
  <si>
    <t>Morre-Tec Industries</t>
  </si>
  <si>
    <t>Morre-Tec Industries - Apple Pectin</t>
  </si>
  <si>
    <t>Ascorbic Acid (Vitamin C)</t>
  </si>
  <si>
    <t>Comet Arrabinna</t>
  </si>
  <si>
    <t>Arrabina L_Product Documents.pdf</t>
  </si>
  <si>
    <t>Comet Arrabinna - Arrabina L Arabinoxylan</t>
  </si>
  <si>
    <t>Ashwaganda Extract (KSM-66 Standarized to 5% withannolides)</t>
  </si>
  <si>
    <t>Pure Assay - Artichoke Leaf P.E. 4:1</t>
  </si>
  <si>
    <t>Ashwagandha Extract 7%</t>
  </si>
  <si>
    <t>Pure Assay - Ascorbic Acid (40-80 mesh)</t>
  </si>
  <si>
    <t>Ashwagandha Root Extract 4:1 (Jiaherb)</t>
  </si>
  <si>
    <t>MTC Industries</t>
  </si>
  <si>
    <t>MTC Industries - Ascorbic Acid (C)</t>
  </si>
  <si>
    <t>AstaReal® CWS25-G (2.5% Astaxanthin Water Soluble powder)</t>
  </si>
  <si>
    <t>M Nutra - Ascorbic Acid (Vitamin C)</t>
  </si>
  <si>
    <t>Astaxanthin 1%</t>
  </si>
  <si>
    <t>Stauber - Ascorbic Acid (Vitamin C)</t>
  </si>
  <si>
    <t>Astaxanthin 2%</t>
  </si>
  <si>
    <t>ASTAXANTHIN 2% PWD</t>
  </si>
  <si>
    <t>500kg</t>
  </si>
  <si>
    <t>Astragalus Root Powder</t>
  </si>
  <si>
    <t>Ixoreal Biomed</t>
  </si>
  <si>
    <t>Ixoreal Biomed - Ashwaganda Extract (KSM-66 Standarized to 5% withannolides)</t>
  </si>
  <si>
    <t>AstraGin</t>
  </si>
  <si>
    <t>25-99kg</t>
  </si>
  <si>
    <t>AstraGin®</t>
  </si>
  <si>
    <t>100-499kg</t>
  </si>
  <si>
    <t>B. infantis 50B CFU/g</t>
  </si>
  <si>
    <t>500-999kg</t>
  </si>
  <si>
    <t>B1308 Beef Bone Broth</t>
  </si>
  <si>
    <t>&gt;1000kg</t>
  </si>
  <si>
    <t>Bacopa Monnieri Extract (20% Bacosides)</t>
  </si>
  <si>
    <t>Phytochem</t>
  </si>
  <si>
    <t>Phytochem - Ashwagandha Extract 7%</t>
  </si>
  <si>
    <t>Bacopa Monnieri Extract (20% Bacosides) (50% by UV) (25kg drum pack)</t>
  </si>
  <si>
    <t>Ashwagandha</t>
  </si>
  <si>
    <t>Jiaherb - Ashwagandha Root Extract 4:1 (Jiaherb)</t>
  </si>
  <si>
    <t>Baja Gold Professional Grade Sea Salt</t>
  </si>
  <si>
    <t>Asta Real USA</t>
  </si>
  <si>
    <t>Asta Real USA - AstaReal® CWS25-G (2.5% Astaxanthin Water Soluble powder)</t>
  </si>
  <si>
    <t>Baja Gold Sea Salt</t>
  </si>
  <si>
    <t>Pure Assay - Astaxanthin 1%</t>
  </si>
  <si>
    <t>Barley Grass</t>
  </si>
  <si>
    <t>Pure Assay - Astaxanthin 2%</t>
  </si>
  <si>
    <t>Beef Organ Protein Powder</t>
  </si>
  <si>
    <t>M Nutra - ASTAXANTHIN 2% PWD</t>
  </si>
  <si>
    <t>Beef Organ Protein Powder (65% Beef Liver) (choice)</t>
  </si>
  <si>
    <t>M Nutra - Astragalus Root Powder</t>
  </si>
  <si>
    <t>Beef Protein Powder</t>
  </si>
  <si>
    <t>Phytochem - Astragalus Root Powder</t>
  </si>
  <si>
    <t>Beet Powder HC 036051020</t>
  </si>
  <si>
    <t>NuLiv Science</t>
  </si>
  <si>
    <t>NuLiv Science - AstraGin</t>
  </si>
  <si>
    <t>Beet Root Powder</t>
  </si>
  <si>
    <t>Nuliv Science</t>
  </si>
  <si>
    <t>5-24kg</t>
  </si>
  <si>
    <t>Nuliv Science - AstraGin®</t>
  </si>
  <si>
    <t>Benfotiamine</t>
  </si>
  <si>
    <t>Berberine 97% Powder</t>
  </si>
  <si>
    <t>100kg+</t>
  </si>
  <si>
    <t>Berberine HCl 97%</t>
  </si>
  <si>
    <t>IFF - Health &amp; Bioscience Ingredients - B. infantis 50B CFU/g</t>
  </si>
  <si>
    <t>Berberine HCL 97% Granular</t>
  </si>
  <si>
    <t>Prinova</t>
  </si>
  <si>
    <t>Beef Bone Broth B1308 #33629 US SPECIFICATION (1).pdf</t>
  </si>
  <si>
    <t>Prinova - B1308 Beef Bone Broth</t>
  </si>
  <si>
    <t>Beta Alanine</t>
  </si>
  <si>
    <t>Phytochem - Bacopa Monnieri Extract (20% Bacosides)</t>
  </si>
  <si>
    <t>Beta Carotene 1% Powder 030321020</t>
  </si>
  <si>
    <t>Bacopa monnieri Extract (50% by UV)</t>
  </si>
  <si>
    <t>M Nutra - Bacopa Monnieri Extract (20% Bacosides) (50% by UV) (25kg drum pack)</t>
  </si>
  <si>
    <t>Beta Carotene 1% Powder CWS</t>
  </si>
  <si>
    <t>Baja Gold</t>
  </si>
  <si>
    <t>Baja Gold Salt Co.</t>
  </si>
  <si>
    <t>5+ Pallets (10,000+ lbs)</t>
  </si>
  <si>
    <t>Baja Gold Salt Co. - Baja Gold Professional Grade Sea Salt</t>
  </si>
  <si>
    <t>Beta Carotene 10% Beadlet</t>
  </si>
  <si>
    <t>1–4 Pallets (2,000+ lbs)</t>
  </si>
  <si>
    <t>Beta Carotene 10% Powder</t>
  </si>
  <si>
    <t>½ Pallet (1,000 lbs)</t>
  </si>
  <si>
    <t>Beta Carotene 20% Beadlet</t>
  </si>
  <si>
    <t>¼ Pallet (500 lbs)</t>
  </si>
  <si>
    <t>Beta Glucan (1,3) (Natural Source)</t>
  </si>
  <si>
    <t>45.36 kg (50 lbs)</t>
  </si>
  <si>
    <t>BETA GLUCAN (OATS) / 26478-59357 M-Gard Particulate EW (25kg box)</t>
  </si>
  <si>
    <t>0-249 lbs</t>
  </si>
  <si>
    <t>Beta-1,3-1,6-Glucans 75 NBG Particulate - 10183 (10 kg box)</t>
  </si>
  <si>
    <t>249-499 lbs</t>
  </si>
  <si>
    <t>Beta-Alanine</t>
  </si>
  <si>
    <t>450kg</t>
  </si>
  <si>
    <t>Baja Gold Salt Co. - Baja Gold Sea Salt</t>
  </si>
  <si>
    <t>Betaine Anhydrous</t>
  </si>
  <si>
    <t>900kg</t>
  </si>
  <si>
    <t>Betaine HCL (FCC) 1% Silica</t>
  </si>
  <si>
    <t>NP Nutra - Barley Grass</t>
  </si>
  <si>
    <t>BioPerine</t>
  </si>
  <si>
    <t>SMP Nutra</t>
  </si>
  <si>
    <t>250kg</t>
  </si>
  <si>
    <t>SMP Nutra - Beef Organ Protein Powder</t>
  </si>
  <si>
    <t>Biotin</t>
  </si>
  <si>
    <t>Biotin 1%</t>
  </si>
  <si>
    <t>Biotin 1% (DCP)</t>
  </si>
  <si>
    <t>United Science</t>
  </si>
  <si>
    <t>60kg</t>
  </si>
  <si>
    <t>United Science - Beef Organ Protein Powder</t>
  </si>
  <si>
    <t>Biotin Pure</t>
  </si>
  <si>
    <t>Kilcoy Global Foods</t>
  </si>
  <si>
    <t>Beef Liver Powder</t>
  </si>
  <si>
    <t>Kilcoy Global Foods - Beef Organ Protein Powder (65% Beef Liver) (choice)</t>
  </si>
  <si>
    <t>Black Pepper Extract 95%</t>
  </si>
  <si>
    <t>225kg</t>
  </si>
  <si>
    <t>HydroBeef Powder</t>
  </si>
  <si>
    <t>Prinova - Beef Protein Powder</t>
  </si>
  <si>
    <t>Black Pepper Extract 95% piperine - 25kg</t>
  </si>
  <si>
    <t>Sensient</t>
  </si>
  <si>
    <t>Sensient - Beet Powder HC 036051020</t>
  </si>
  <si>
    <t>Black Pepper P.E. 95% Piperine</t>
  </si>
  <si>
    <t>NP Nutra - Beet Root Powder</t>
  </si>
  <si>
    <t>Black Tea (Red Tea) Extract 50% Polyphenols UV</t>
  </si>
  <si>
    <t>100kg to less than Pallet</t>
  </si>
  <si>
    <t>Blood Orange Flavor, NAT WONF (50 lb pack)</t>
  </si>
  <si>
    <t>Pallet Quantity (500kg)</t>
  </si>
  <si>
    <t>Blue Raspberry 1586B PDR $14.60/lb</t>
  </si>
  <si>
    <t>1000kg +</t>
  </si>
  <si>
    <t>Blue Raspberry 6363C PDR</t>
  </si>
  <si>
    <t>HD Nutrition - Benfotiamine</t>
  </si>
  <si>
    <t>Blueberry Cultivated Freeze Dried Powder(50lb case)</t>
  </si>
  <si>
    <t>Fifth NutriSupply - Berberine 97% Powder</t>
  </si>
  <si>
    <t>Blueberry Extract 10% Anthocyanidins</t>
  </si>
  <si>
    <t>Phyhuir - Berberine HCl 97%</t>
  </si>
  <si>
    <t>Blueberry Extract Powder, 4:1</t>
  </si>
  <si>
    <t>HD Nutrition - Berberine HCL 97% Granular</t>
  </si>
  <si>
    <t>Blueberry Pomegranate 1639E PDR 14.60</t>
  </si>
  <si>
    <t>Fifth NutriSupply - Beta Alanine</t>
  </si>
  <si>
    <t>Blueberry Pomegranate 6369C PDR</t>
  </si>
  <si>
    <t>COA-Beta Alanine-C652401032.pdf</t>
  </si>
  <si>
    <t>Pure Assay - Beta Alanine</t>
  </si>
  <si>
    <t>Blueberry Root Extract (50:1)</t>
  </si>
  <si>
    <t>Boron Citrate - 25112-57673 (25kg box)</t>
  </si>
  <si>
    <t>Sensient - Beta Carotene 1% Powder 030321020</t>
  </si>
  <si>
    <t>Bororganic Glycine - Product Code 3453</t>
  </si>
  <si>
    <t>Pure Assay - Beta Carotene 1% Powder CWS</t>
  </si>
  <si>
    <t>Boswellia Serrata Extract - 65% boswellic acid</t>
  </si>
  <si>
    <t>Pure Assay - Beta Carotene 10% Beadlet</t>
  </si>
  <si>
    <t>Boswellia Serrata Extract | 65% Boswellic Acids Titration</t>
  </si>
  <si>
    <t>Pure Assay - Beta Carotene 10% Powder</t>
  </si>
  <si>
    <t>Boswellia Serrata Extract Powder 65% Boswellic Acid</t>
  </si>
  <si>
    <t>Pure Assay - Beta Carotene 20% Beadlet</t>
  </si>
  <si>
    <t>Boswellia Serrata Extract Powder 65% Boswellic Acid (Titration)</t>
  </si>
  <si>
    <t>Beta Glucan</t>
  </si>
  <si>
    <t>Pacific Bridge - Beta Glucan (1,3) (Natural Source)</t>
  </si>
  <si>
    <t>Bovine Collagen</t>
  </si>
  <si>
    <t>BETA GLUCAN (OATS) / 26478-59357 M-Gard Particulate EW</t>
  </si>
  <si>
    <t>Stauber - BETA GLUCAN (OATS) / 26478-59357 M-Gard Particulate EW (25kg box)</t>
  </si>
  <si>
    <t>Bovine Colostrum (40% IgG)</t>
  </si>
  <si>
    <t>Beta-1,3-1,6-Glucans</t>
  </si>
  <si>
    <t>LBB Specialties - Beta-1,3-1,6-Glucans 75 NBG Particulate - 10183 (10 kg box)</t>
  </si>
  <si>
    <t>Broccoli Extract</t>
  </si>
  <si>
    <t>HD Nutrition - Beta-Alanine</t>
  </si>
  <si>
    <t>Bromelain (Ananas comosus) (stem) (240 GDU)</t>
  </si>
  <si>
    <t>MTC Industries - Beta-Alanine</t>
  </si>
  <si>
    <t>Bromelain | 2400 GDU 25kg pack</t>
  </si>
  <si>
    <t>Pure Assay - Betaine Anhydrous</t>
  </si>
  <si>
    <t>Bromelain 2400 GDU/g</t>
  </si>
  <si>
    <t>Pure Assay - Betaine HCL (FCC) 1% Silica</t>
  </si>
  <si>
    <t>Bromelain 240GDU</t>
  </si>
  <si>
    <t>Sabinsa</t>
  </si>
  <si>
    <t>Sabinsa - BioPerine</t>
  </si>
  <si>
    <t>Brookside Nat Flavor, Sweetness enhancer type 84003244- 50 lb pack</t>
  </si>
  <si>
    <t>Phytochem - Biotin</t>
  </si>
  <si>
    <t>Brown Rice Flour</t>
  </si>
  <si>
    <t>Pure Assay - Biotin</t>
  </si>
  <si>
    <t>Brown Rice Flour - A207900 (50 lbs)</t>
  </si>
  <si>
    <t>Phytochem - Biotin 1%</t>
  </si>
  <si>
    <t>Brown Rice Flour Powder</t>
  </si>
  <si>
    <t>Pure Assay - Biotin 1% (DCP)</t>
  </si>
  <si>
    <t>Brown Rice Protein Powder</t>
  </si>
  <si>
    <t>M Nutra - Biotin Pure</t>
  </si>
  <si>
    <t>Caffeine Anhydrous</t>
  </si>
  <si>
    <t>Forward Farma - Black Pepper Extract 95%</t>
  </si>
  <si>
    <t>Caffeine Anhydrous (20-80 mesh)</t>
  </si>
  <si>
    <t>Nutri Avenue</t>
  </si>
  <si>
    <t>Nutri Avenue - Black Pepper Extract 95% piperine - 25kg</t>
  </si>
  <si>
    <t>Caffeine Anhydrous | 98% HPLC (Synthetic)</t>
  </si>
  <si>
    <t>Pure Assay - Black Pepper P.E. 95% Piperine</t>
  </si>
  <si>
    <t>Caffeine Anhydrous Natural</t>
  </si>
  <si>
    <t>15kg</t>
  </si>
  <si>
    <t>Jiaherb - Black Tea (Red Tea) Extract 50% Polyphenols UV</t>
  </si>
  <si>
    <t>Calci-K® (Calcium Potassium Phosphate Citrate) - Product Code 3460</t>
  </si>
  <si>
    <t>Fona</t>
  </si>
  <si>
    <t>Flavors</t>
  </si>
  <si>
    <t>Fona - Blood Orange Flavor, NAT WONF (50 lb pack)</t>
  </si>
  <si>
    <t>Calcium Alpha-Ketoglutarate (Ca-AKG) - 100kg</t>
  </si>
  <si>
    <t>113.4kg</t>
  </si>
  <si>
    <t>Calcium Alpha-Ketoglutarate (Ca-AKG) - 25kg</t>
  </si>
  <si>
    <t>226.8kg</t>
  </si>
  <si>
    <t>Calcium Ascorbate</t>
  </si>
  <si>
    <t>OSF Flavors</t>
  </si>
  <si>
    <t>Flavor</t>
  </si>
  <si>
    <t>OSF Flavors - Blue Raspberry 1586B PDR $14.60/lb</t>
  </si>
  <si>
    <t>Calcium Ascorbate USP</t>
  </si>
  <si>
    <t>OSF Flavors - Blue Raspberry 6363C PDR</t>
  </si>
  <si>
    <t>Calcium Bisglycinate Chelate - Product Code 4055</t>
  </si>
  <si>
    <t>22.68kg</t>
  </si>
  <si>
    <t>Future Ceuticals - Blueberry Cultivated Freeze Dried Powder(50lb case)</t>
  </si>
  <si>
    <t>Calcium Bisglycinate Chelate Buffered - Product Code 4058</t>
  </si>
  <si>
    <t>M Nutra - Blueberry Extract 10% Anthocyanidins</t>
  </si>
  <si>
    <t>Calcium Bisglycinate Chelate Granular - Product Code 3450</t>
  </si>
  <si>
    <t>Green Jeeva</t>
  </si>
  <si>
    <t>Blueberry Extract Powder</t>
  </si>
  <si>
    <t>Green Jeeva - Blueberry Extract Powder, 4:1</t>
  </si>
  <si>
    <t>Calcium Bisglycinate Chelate Taste Free - Product Code 3534</t>
  </si>
  <si>
    <t>OSF Flavors - Blueberry Pomegranate 1639E PDR 14.60</t>
  </si>
  <si>
    <t>Calcium Carbonate Heavy USP44 code=26612-59530 (25 KG Bag)</t>
  </si>
  <si>
    <t>OSF Flavors - Blueberry Pomegranate 6369C PDR</t>
  </si>
  <si>
    <t>Calcium Citrate (25 kg bag)</t>
  </si>
  <si>
    <t>Phytochem - Blueberry Root Extract (50:1)</t>
  </si>
  <si>
    <t>Calcium Citrate Malate - Product Code 4500</t>
  </si>
  <si>
    <t>8/14 -</t>
  </si>
  <si>
    <t>Boron Citrate 5%</t>
  </si>
  <si>
    <t>Stauber - Boron Citrate - 25112-57673 (25kg box)</t>
  </si>
  <si>
    <t>Calcium Citrate Malate Compressible - Product Code 3508</t>
  </si>
  <si>
    <t>United Science - Bororganic Glycine - Product Code 3453</t>
  </si>
  <si>
    <t>Calcium d- pantothenate</t>
  </si>
  <si>
    <t>Comext Nutrition Inc. - Boswellia Serrata Extract - 65% boswellic acid</t>
  </si>
  <si>
    <t>Calcium D-Glucarate</t>
  </si>
  <si>
    <t>Jiaherb - Boswellia Serrata Extract | 65% Boswellic Acids Titration</t>
  </si>
  <si>
    <t>Calcium Gluconate 9%</t>
  </si>
  <si>
    <t>Green Jeeva - Boswellia Serrata Extract Powder 65% Boswellic Acid</t>
  </si>
  <si>
    <t>Calcium L-5-MTHF (Folate) Pure</t>
  </si>
  <si>
    <t>Green Jeeva - Boswellia Serrata Extract Powder 65% Boswellic Acid (Titration)</t>
  </si>
  <si>
    <t>Calcium Lactate Anhydrous</t>
  </si>
  <si>
    <t>Fifth NutriSupply - Bovine Collagen</t>
  </si>
  <si>
    <t>Calcium Lactate Gluconate</t>
  </si>
  <si>
    <t>FifthNutriSupply</t>
  </si>
  <si>
    <t>FifthNutriSupply - Bovine Colostrum (40% IgG)</t>
  </si>
  <si>
    <t>Calcium Lactate Pentahydrate</t>
  </si>
  <si>
    <t>NP Nutra - Broccoli Extract</t>
  </si>
  <si>
    <t>Calcium Phosphate (Monobasic) 12264 (Dicalcium Phosphate Dihydrate)</t>
  </si>
  <si>
    <t>Stauber - Bromelain (Ananas comosus) (stem) (240 GDU)</t>
  </si>
  <si>
    <t>Calcium Pyruvate</t>
  </si>
  <si>
    <t>Bromelain | 2400 GDU</t>
  </si>
  <si>
    <t>Jiaherb - Bromelain | 2400 GDU 25kg pack</t>
  </si>
  <si>
    <t>Calcium Silicate ZEOFREE® 600 (Origin Germany) (30 lb pack)</t>
  </si>
  <si>
    <t>Pure Assay - Bromelain 2400 GDU/g</t>
  </si>
  <si>
    <t>Calcium Silicate(30 lb - 13.61kg bags)</t>
  </si>
  <si>
    <t>LBB Specialties - Bromelain 240GDU</t>
  </si>
  <si>
    <t>CarnoSyn</t>
  </si>
  <si>
    <t>Brookside Flavors</t>
  </si>
  <si>
    <t>84003244 - NATURAL SWEETNESS ENHANCER POWDER</t>
  </si>
  <si>
    <t>Brookside Flavors - Brookside Nat Flavor, Sweetness enhancer type 84003244- 50 lb pack</t>
  </si>
  <si>
    <t>CDP Choline</t>
  </si>
  <si>
    <t>100-300 lbs</t>
  </si>
  <si>
    <t>Celery Juice Powder</t>
  </si>
  <si>
    <t>350-450 lbs</t>
  </si>
  <si>
    <t>Celtic Sea Salt (Sel Gris, SaltWorks)</t>
  </si>
  <si>
    <t>500+ lbs</t>
  </si>
  <si>
    <t>Ceylon Cinnamon Extract Powder 10:1</t>
  </si>
  <si>
    <t>thickeners/flow agents</t>
  </si>
  <si>
    <t>3000kg</t>
  </si>
  <si>
    <t>Comext Nutrition Inc. - Brown Rice Flour</t>
  </si>
  <si>
    <t>Chaga extract</t>
  </si>
  <si>
    <t>Food Ingredients - Brown Rice Flour</t>
  </si>
  <si>
    <t>Chamomile Extract | 1.2% Apigenin HPLC</t>
  </si>
  <si>
    <t>Fuller Ingredients</t>
  </si>
  <si>
    <t>Fuller Ingredients - Brown Rice Flour</t>
  </si>
  <si>
    <t>Chamomile P.E. 4:1</t>
  </si>
  <si>
    <t>Pacific Bridge - Brown Rice Flour</t>
  </si>
  <si>
    <t>Chaste Tree Berry Extract | 10:1 (Imported) 25kg pack</t>
  </si>
  <si>
    <t>Food Ingredients - Brown Rice Flour - A207900 (50 lbs)</t>
  </si>
  <si>
    <t>Cherry 4388C PDR 16.90</t>
  </si>
  <si>
    <t>22.68 kg</t>
  </si>
  <si>
    <t>Green Jeeva - Brown Rice Flour Powder</t>
  </si>
  <si>
    <t>Cherry 6364C PDR</t>
  </si>
  <si>
    <t>Pacific Bridge - Brown Rice Flour Powder</t>
  </si>
  <si>
    <t>Cherry Juice Concentrate, Sour 68 Brix</t>
  </si>
  <si>
    <t>Comext Nutrition Inc. - Brown Rice Protein Powder</t>
  </si>
  <si>
    <t>Cherry Juice Concentrate, Sour 68 Brix - Pails</t>
  </si>
  <si>
    <t>MTC vita</t>
  </si>
  <si>
    <t>MTC vita - Caffeine Anhydrous</t>
  </si>
  <si>
    <t>Cherry Nat WONF 3407A PDR</t>
  </si>
  <si>
    <t>Pure Assay - Caffeine Anhydrous (20-80 mesh)</t>
  </si>
  <si>
    <t>CherryPURE</t>
  </si>
  <si>
    <t>Jiaherb - Caffeine Anhydrous | 98% HPLC (Synthetic)</t>
  </si>
  <si>
    <t>Chiber</t>
  </si>
  <si>
    <t>Pure Assay - Caffeine Anhydrous Natural</t>
  </si>
  <si>
    <t>Chicken Collagen Powder Type II</t>
  </si>
  <si>
    <t>United Science - Calci-K® (Calcium Potassium Phosphate Citrate) - Product Code 3460</t>
  </si>
  <si>
    <t>Chickpea Protein 70% - 33515</t>
  </si>
  <si>
    <t>Nutri Avenue - Calcium Alpha-Ketoglutarate (Ca-AKG) - 100kg</t>
  </si>
  <si>
    <t>Chicory Root Inulin 90%</t>
  </si>
  <si>
    <t>Nutri Avenue - Calcium Alpha-Ketoglutarate (Ca-AKG) - 25kg</t>
  </si>
  <si>
    <t>Chicory Root Inulin Fruitalose OFP</t>
  </si>
  <si>
    <t>Fuller Ingredients - Calcium Ascorbate</t>
  </si>
  <si>
    <t>Cholecalciferol (100,000iu/g) (Vitamin D3)</t>
  </si>
  <si>
    <t>Pure Assay - Calcium Ascorbate</t>
  </si>
  <si>
    <t>Choline Bitartrate</t>
  </si>
  <si>
    <t>Stauber - Calcium Ascorbate USP</t>
  </si>
  <si>
    <t>Choline Chloride USP/FCC - Product Code F6522120-I25kg</t>
  </si>
  <si>
    <t>United Science - Calcium Bisglycinate Chelate - Product Code 4055</t>
  </si>
  <si>
    <t>Choline Chloride USP/FCC - Product Code F6522120-K20kg</t>
  </si>
  <si>
    <t>SMP Nutra - Calcium Bisglycinate Chelate Buffered - Product Code 4058</t>
  </si>
  <si>
    <t>Choline Chloride USP/FCC - Product Code F6522120-L20kg</t>
  </si>
  <si>
    <t>Balchem</t>
  </si>
  <si>
    <t>5kg/25kg</t>
  </si>
  <si>
    <t>Balchem - Calcium Bisglycinate Chelate Granular - Product Code 3450</t>
  </si>
  <si>
    <t>Choline Dihydrogen Citrate - Conditioned - Product Code F4562121-I25kg</t>
  </si>
  <si>
    <t>Balchem - Calcium Bisglycinate Chelate Taste Free - Product Code 3534</t>
  </si>
  <si>
    <t>Choline Dihydrogen Citrate - Conditioned - Product Code F6502120-I25kg</t>
  </si>
  <si>
    <t>100 KG</t>
  </si>
  <si>
    <t>Calcium Carbonate</t>
  </si>
  <si>
    <t>Stauber - Calcium Carbonate Heavy USP44 code=26612-59530 (25 KG Bag)</t>
  </si>
  <si>
    <t>Choline L(+) Bitartrate - Cond 40 Mesh - Product Code F6472120-I25kg</t>
  </si>
  <si>
    <t>M Nutra - Calcium Citrate (25 kg bag)</t>
  </si>
  <si>
    <t>Choline L(+) Bitartrate - Cond 40 Mesh - Product Code F6492120-I25kg</t>
  </si>
  <si>
    <t>Choline L(+) Bitartrate - Cond 60-80 Mesh - Product Code F6512120-I25kg</t>
  </si>
  <si>
    <t>Choline L(+) Bitartrate - Cond 60-80 Mesh - Product Code F6672118-K25kg</t>
  </si>
  <si>
    <t>Balchem - Calcium Citrate Malate - Product Code 4500</t>
  </si>
  <si>
    <t>Chromium Nicotinate Glycinate Chelate - Product Code 3492</t>
  </si>
  <si>
    <t>Balchem - Calcium Citrate Malate Compressible - Product Code 3508</t>
  </si>
  <si>
    <t>Chromium Picolinate</t>
  </si>
  <si>
    <t>M Nutra - Calcium d- pantothenate</t>
  </si>
  <si>
    <t>Chromium Polynicotinate</t>
  </si>
  <si>
    <t>Pure Assay - Calcium D-Glucarate</t>
  </si>
  <si>
    <t>Chrysin</t>
  </si>
  <si>
    <t>Pure Assay - Calcium Gluconate 9%</t>
  </si>
  <si>
    <t>Cinnamon Bark Extract</t>
  </si>
  <si>
    <t>M Nutra - Calcium L-5-MTHF (Folate) Pure</t>
  </si>
  <si>
    <t>Cinnamon Bark Extract 10:1</t>
  </si>
  <si>
    <t>Stauber - Calcium Lactate Anhydrous</t>
  </si>
  <si>
    <t>Cinnamon Bark Extract 4:1</t>
  </si>
  <si>
    <t>Cinnamon Bark Extract | 4:1</t>
  </si>
  <si>
    <t>Cinnamon Bark Powder</t>
  </si>
  <si>
    <t>Cinnamon Extract Powder 4:1</t>
  </si>
  <si>
    <t>10000kg</t>
  </si>
  <si>
    <t>Citicoline Sodium</t>
  </si>
  <si>
    <t>Jungbunzlauer</t>
  </si>
  <si>
    <t>Stauber - Calcium Lactate Gluconate</t>
  </si>
  <si>
    <t>Citric Acid</t>
  </si>
  <si>
    <t>M Nutra - Calcium Lactate Pentahydrate</t>
  </si>
  <si>
    <t>Citric Acid - A14750 (50 lbs)</t>
  </si>
  <si>
    <t>Pacific Bridge - Calcium Phosphate (Monobasic) 12264 (Dicalcium Phosphate Dihydrate)</t>
  </si>
  <si>
    <t>Citric Acid Anhydrous</t>
  </si>
  <si>
    <t>Pure Assay - Calcium Pyruvate</t>
  </si>
  <si>
    <t>Citric Acid Anhydrous ( 20585-50681) (50lb bag)</t>
  </si>
  <si>
    <t>13.61kg</t>
  </si>
  <si>
    <t>Calcium Silicate ZEOFREE® 600 (Origin Germany)</t>
  </si>
  <si>
    <t>M Nutra - Calcium Silicate ZEOFREE® 600 (Origin Germany) (30 lb pack)</t>
  </si>
  <si>
    <t>Citrus 3714B PDR</t>
  </si>
  <si>
    <t>LBB Specialties - Calcium Silicate(30 lb - 13.61kg bags)</t>
  </si>
  <si>
    <t>Citrus Bioflavonoid P.E. 50%</t>
  </si>
  <si>
    <t>Natural Alternatives International</t>
  </si>
  <si>
    <t>Natural Alternatives International - CarnoSyn</t>
  </si>
  <si>
    <t>Citrus Bioflavonoids (8%</t>
  </si>
  <si>
    <t>Fifth NutriSupply - CDP Choline</t>
  </si>
  <si>
    <t>Citrus Bioflavonoids (8%)</t>
  </si>
  <si>
    <t>Pure Assay - CDP Choline</t>
  </si>
  <si>
    <t>Clean Cream - 33416</t>
  </si>
  <si>
    <t>NP Nutra - Celery Juice Powder</t>
  </si>
  <si>
    <t>Cleartein Clear Whey</t>
  </si>
  <si>
    <t>Salt Works</t>
  </si>
  <si>
    <t>24.95 kg</t>
  </si>
  <si>
    <t>Salt Works - Celtic Sea Salt (Sel Gris, SaltWorks)</t>
  </si>
  <si>
    <t>Clove Extract 4:1</t>
  </si>
  <si>
    <t>Green Jeeva - Ceylon Cinnamon Extract Powder 10:1</t>
  </si>
  <si>
    <t>PC*: IOMUWP11 Inonotus obliquus</t>
  </si>
  <si>
    <t>Nammex</t>
  </si>
  <si>
    <t>5-50kg</t>
  </si>
  <si>
    <t>Nammex - Chaga extract</t>
  </si>
  <si>
    <t>Cluster Dextrin</t>
  </si>
  <si>
    <t>55-245kg</t>
  </si>
  <si>
    <t>Co Enzyme Q10</t>
  </si>
  <si>
    <t>250-995kg</t>
  </si>
  <si>
    <t>Cocoa</t>
  </si>
  <si>
    <t>1000+kg</t>
  </si>
  <si>
    <t>CocOat Covico 20311</t>
  </si>
  <si>
    <t>Jiaherb - Chamomile Extract | 1.2% Apigenin HPLC</t>
  </si>
  <si>
    <t>Coconut Type Nat Flavor 9588B-O PDR</t>
  </si>
  <si>
    <t>Pure Assay - Chamomile P.E. 4:1</t>
  </si>
  <si>
    <t>Coenzyme Q10 (Ubiquinone) (25 kg)</t>
  </si>
  <si>
    <t>Chaste Tree Berry Extract | 10:1 (Imported)</t>
  </si>
  <si>
    <t>Jiaherb - Chaste Tree Berry Extract | 10:1 (Imported) 25kg pack</t>
  </si>
  <si>
    <t>Coenzyme Q10 98% (Ubiquinone)/CoQ10</t>
  </si>
  <si>
    <t>OSF Flavors - Cherry 4388C PDR 16.90</t>
  </si>
  <si>
    <t>Collagen</t>
  </si>
  <si>
    <t>OSF Flavors - Cherry 6364C PDR</t>
  </si>
  <si>
    <t>Colostrum HD 40% IGG</t>
  </si>
  <si>
    <t>Tart Cherry Juice Concentrate</t>
  </si>
  <si>
    <t>Florida Bulk Sales</t>
  </si>
  <si>
    <t>Juice</t>
  </si>
  <si>
    <t>25-100kg</t>
  </si>
  <si>
    <t>Florida Bulk Sales - Cherry Juice Concentrate, Sour 68 Brix</t>
  </si>
  <si>
    <t>ConcenTrace AC(120) Mesh</t>
  </si>
  <si>
    <t>125-250kg</t>
  </si>
  <si>
    <t>congnatiQ</t>
  </si>
  <si>
    <t>275-900kg</t>
  </si>
  <si>
    <t>Copper Bisglycinate Chelate - Product Code 3502</t>
  </si>
  <si>
    <t>900+kg</t>
  </si>
  <si>
    <t>Copper Gluconate</t>
  </si>
  <si>
    <t>1-4 pails</t>
  </si>
  <si>
    <t>Florida Bulk Sales - Cherry Juice Concentrate, Sour 68 Brix - Pails</t>
  </si>
  <si>
    <t>CoQ10</t>
  </si>
  <si>
    <t>5-10 pails</t>
  </si>
  <si>
    <t>CoQ10 (Chinese)</t>
  </si>
  <si>
    <t>11-35 pails</t>
  </si>
  <si>
    <t>Cordyceps extract</t>
  </si>
  <si>
    <t>36+ pails</t>
  </si>
  <si>
    <t>Cordyceps Extract 10:01</t>
  </si>
  <si>
    <t>OSF Flavors - Cherry Nat WONF 3407A PDR</t>
  </si>
  <si>
    <t>Cordyceps Extract 8:01 (1 kg or 5kg packs)</t>
  </si>
  <si>
    <t>Shoreline Fuits</t>
  </si>
  <si>
    <t>Shoreline Fuits - CherryPURE</t>
  </si>
  <si>
    <t>Cordyceps Sinensis P.E. 7%</t>
  </si>
  <si>
    <t>Chinova Bioworks</t>
  </si>
  <si>
    <t>$40/Liter</t>
  </si>
  <si>
    <t>20 Liters</t>
  </si>
  <si>
    <t>Chinova Bioworks - Chiber</t>
  </si>
  <si>
    <t>Corn Maltodextrin</t>
  </si>
  <si>
    <t>Pure Assay - Chicken Collagen Powder Type II</t>
  </si>
  <si>
    <t>Corn Syrup 42/43 (drum)</t>
  </si>
  <si>
    <t>100 kg</t>
  </si>
  <si>
    <t>Prinova - Chickpea Protein 70% - 33515</t>
  </si>
  <si>
    <t>Corn Syrup 42/43 (pail)</t>
  </si>
  <si>
    <t>Spec Sheet - Chicory Inulin 90% (1) (1).pdf</t>
  </si>
  <si>
    <t>NP Nutra - Chicory Root Inulin 90%</t>
  </si>
  <si>
    <t>Corn Syrup 42/43/drum - A62950 (660 lbs)</t>
  </si>
  <si>
    <t>Sensus</t>
  </si>
  <si>
    <t>Pallet (50 44.09 lb bags)</t>
  </si>
  <si>
    <t>Sensus - Chicory Root Inulin Fruitalose OFP</t>
  </si>
  <si>
    <t>Corn Syrup 42/43/pail - A65850 (60 lbs)</t>
  </si>
  <si>
    <t>M Nutra - Cholecalciferol (100,000iu/g) (Vitamin D3)</t>
  </si>
  <si>
    <t>Cranberry Fruit Powder</t>
  </si>
  <si>
    <t>M Nutra - Choline Bitartrate</t>
  </si>
  <si>
    <t>Cranberry Red P-WS 503236-0020</t>
  </si>
  <si>
    <t>Pure Assay - Choline Bitartrate</t>
  </si>
  <si>
    <t>Cream of Tarter</t>
  </si>
  <si>
    <t>Creatine 200mesh</t>
  </si>
  <si>
    <t>Balchem - Choline Chloride USP/FCC - Product Code F6522120-I25kg</t>
  </si>
  <si>
    <t>Creatine HCL (80 mesh)</t>
  </si>
  <si>
    <t>Balchem - Choline Chloride USP/FCC - Product Code F6522120-K20kg</t>
  </si>
  <si>
    <t>Creatine MagnaPower™ - Product Code 3465</t>
  </si>
  <si>
    <t>Balchem - Choline Chloride USP/FCC - Product Code F6522120-L20kg</t>
  </si>
  <si>
    <t>Creatine Mono 200 Mesh</t>
  </si>
  <si>
    <t>Balchem - Choline Dihydrogen Citrate - Conditioned - Product Code F4562121-I25kg</t>
  </si>
  <si>
    <t>Creatine Monohydrate</t>
  </si>
  <si>
    <t>5kg/20kg</t>
  </si>
  <si>
    <t>Balchem - Choline Dihydrogen Citrate - Conditioned - Product Code F6502120-I25kg</t>
  </si>
  <si>
    <t>Creatine Monohydrate (200 mesh)</t>
  </si>
  <si>
    <t>Balchem - Choline L(+) Bitartrate - Cond 40 Mesh - Product Code F6472120-I25kg</t>
  </si>
  <si>
    <t>Creatine Monohydrate 200 mesh</t>
  </si>
  <si>
    <t>Balchem - Choline L(+) Bitartrate - Cond 40 Mesh - Product Code F6492120-I25kg</t>
  </si>
  <si>
    <t>Creatine Monohydrate 200 Mesh (Code: 21154-51475) (25kg box)</t>
  </si>
  <si>
    <t>Balchem - Choline L(+) Bitartrate - Cond 60-80 Mesh - Product Code F6512120-I25kg</t>
  </si>
  <si>
    <t>Creatine Monohydrate 200mesh</t>
  </si>
  <si>
    <t>Balchem - Choline L(+) Bitartrate - Cond 60-80 Mesh - Product Code F6672118-K25kg</t>
  </si>
  <si>
    <t>Curcumin</t>
  </si>
  <si>
    <t>Balchem - Chromium Nicotinate Glycinate Chelate - Product Code 3492</t>
  </si>
  <si>
    <t>Cyanocobalamin (Vitamin B12)</t>
  </si>
  <si>
    <t>Pure Assay - Chromium Picolinate</t>
  </si>
  <si>
    <t>Cyanocobalamin (Vitamin B12) Pure</t>
  </si>
  <si>
    <t>Cyanotis Arachnoidea Extract (95% Ecdysterone 95% by HPLC)</t>
  </si>
  <si>
    <t>Pure Assay - Chromium Polynicotinate</t>
  </si>
  <si>
    <t>Cyanotis Arachnoidea Extract (95% Ecdysterone)</t>
  </si>
  <si>
    <t>Pure Assay - Chrysin</t>
  </si>
  <si>
    <t>DA Baking Powder</t>
  </si>
  <si>
    <t>NP Nutra - Cinnamon Bark Extract</t>
  </si>
  <si>
    <t>D-Alpha Tocopheryl Acetate 700iu/g Powder</t>
  </si>
  <si>
    <t>Cinnamon 10:1</t>
  </si>
  <si>
    <t>Green Jeeva - Cinnamon Bark Extract 10:1</t>
  </si>
  <si>
    <t>d-alpha tocpheryl succinate (Vitamin E) 1185iu Natural</t>
  </si>
  <si>
    <t>Cinnamon 4:1</t>
  </si>
  <si>
    <t>Green Jeeva - Cinnamon Bark Extract 4:1</t>
  </si>
  <si>
    <t>d-alpha tocpheryl succinate (Vitamin E) 1210iu/g</t>
  </si>
  <si>
    <t>Jiaherb - Cinnamon Bark Extract | 4:1</t>
  </si>
  <si>
    <t>Dandelion extract (10:1)</t>
  </si>
  <si>
    <t>Jiaherb - Cinnamon Bark Powder</t>
  </si>
  <si>
    <t>Dandelion Root P.E. 4:1</t>
  </si>
  <si>
    <t>Green Jeeva - Cinnamon Extract Powder 4:1</t>
  </si>
  <si>
    <t>D-Biotin</t>
  </si>
  <si>
    <t>Pure Assay - Citicoline Sodium</t>
  </si>
  <si>
    <t>D-Calcium Pantothenate (B5)</t>
  </si>
  <si>
    <t>Food Ingredients - Citric Acid</t>
  </si>
  <si>
    <t>D-Chiro Inositol</t>
  </si>
  <si>
    <t>M Nutra - Citric Acid</t>
  </si>
  <si>
    <t>D-Chiro-Inositol - 25kg</t>
  </si>
  <si>
    <t>North Central</t>
  </si>
  <si>
    <t>1133.98 kg</t>
  </si>
  <si>
    <t>North Central - Citric Acid</t>
  </si>
  <si>
    <t>D-Chiro-Inositol - 5kg</t>
  </si>
  <si>
    <t>Food Ingredients - Citric Acid - A14750 (50 lbs)</t>
  </si>
  <si>
    <t>D-Chiro-Inositol (25 kg/box)</t>
  </si>
  <si>
    <t>JM Swank (Brenntag)</t>
  </si>
  <si>
    <t>JM Swank (Brenntag) - Citric Acid Anhydrous</t>
  </si>
  <si>
    <t>Dextrose / ADM</t>
  </si>
  <si>
    <t>Pacific Bridge - Citric Acid Anhydrous</t>
  </si>
  <si>
    <t>Dextrose / Ingredion</t>
  </si>
  <si>
    <t>Jungbunzlaur</t>
  </si>
  <si>
    <t>100 lbs (45.36 kg)</t>
  </si>
  <si>
    <t>Stauber - Citric Acid Anhydrous ( 20585-50681) (50lb bag)</t>
  </si>
  <si>
    <t>Dextrose Anhydrous</t>
  </si>
  <si>
    <t>2400lbs (1100kg)</t>
  </si>
  <si>
    <t>Dextrose/ADM - A4030 (50 lbs)</t>
  </si>
  <si>
    <t>6000lb (2,721.55 kg)</t>
  </si>
  <si>
    <t>Dextrose/Ingredion - A21200 (50 lbs)</t>
  </si>
  <si>
    <t>20000lb (9,071.85 kg)</t>
  </si>
  <si>
    <t>DHA Powder from Algae 10% (25 kg/box)</t>
  </si>
  <si>
    <t>42000lb (19,057.00 kg)</t>
  </si>
  <si>
    <t>DHEA</t>
  </si>
  <si>
    <t>2000lb (907.18kg) (pallet)</t>
  </si>
  <si>
    <t>DigeSEB Super</t>
  </si>
  <si>
    <t>OSF Flavors - Citrus 3714B PDR</t>
  </si>
  <si>
    <t>Dihydroberberine</t>
  </si>
  <si>
    <t>Pure Assay - Citrus Bioflavonoid P.E. 50%</t>
  </si>
  <si>
    <t>Dihydromyricetin</t>
  </si>
  <si>
    <t>M Nutra - Citrus Bioflavonoids (8%</t>
  </si>
  <si>
    <t>Diindolylmethane</t>
  </si>
  <si>
    <t>Phytochem - Citrus Bioflavonoids (8%)</t>
  </si>
  <si>
    <t>DimaCal (Dicalcium Malate) (26569-59473) (25kg pack)</t>
  </si>
  <si>
    <t>Prinova - Clean Cream - 33416</t>
  </si>
  <si>
    <t>Dimagnesium Malate - Product Code 4048</t>
  </si>
  <si>
    <t>Prinova - Cleartein Clear Whey</t>
  </si>
  <si>
    <t>DIMAGNESIUM PHOSPHATE LOW METAL</t>
  </si>
  <si>
    <t>Jiaherb - Clove Extract 4:1</t>
  </si>
  <si>
    <t>DL-Alpha Tocopheryl (Vitamin E) Acetate 700iu/g</t>
  </si>
  <si>
    <t>Dl-Alpha Tocopheryl Acetate 50% SD (Vitamin E) Powder CWS</t>
  </si>
  <si>
    <t>Gillco</t>
  </si>
  <si>
    <t>Gillco - Cluster Dextrin</t>
  </si>
  <si>
    <t>DL-Choline Bitartrate Coated</t>
  </si>
  <si>
    <t>HD Nutrition - Co Enzyme Q10</t>
  </si>
  <si>
    <t>DL-Methionine</t>
  </si>
  <si>
    <t>Cargill</t>
  </si>
  <si>
    <t>Cargill - Cocoa</t>
  </si>
  <si>
    <t>D-Mannose</t>
  </si>
  <si>
    <t>Invico (Covico) - CocOat Covico 20311</t>
  </si>
  <si>
    <t>D-Ribose</t>
  </si>
  <si>
    <t>OSF Flavors - Coconut Type Nat Flavor 9588B-O PDR</t>
  </si>
  <si>
    <t>D-Ribose Powder</t>
  </si>
  <si>
    <t>Phytochem - Coenzyme Q10 (Ubiquinone) (25 kg)</t>
  </si>
  <si>
    <t>Dried Honey 70</t>
  </si>
  <si>
    <t>Jiaherb - Coenzyme Q10 98% (Ubiquinone)/CoQ10</t>
  </si>
  <si>
    <t>Dynamine 35% Natural</t>
  </si>
  <si>
    <t>MTC Industries - Collagen</t>
  </si>
  <si>
    <t>Dynamine 40%</t>
  </si>
  <si>
    <t>Fifth NutriSupply - Colostrum HD 40% IGG</t>
  </si>
  <si>
    <t>Dynamine Pure</t>
  </si>
  <si>
    <t>Trace Minerals</t>
  </si>
  <si>
    <t>ConcenTrace AC</t>
  </si>
  <si>
    <t>Trace Minerals - ConcenTrace AC(120) Mesh</t>
  </si>
  <si>
    <t>EFG Cane Sugar</t>
  </si>
  <si>
    <t>Elderberry Fruit Extract</t>
  </si>
  <si>
    <t>Embocaps AP 60 - 0 / 2 / 3 / 4</t>
  </si>
  <si>
    <t>Future Ceuticals - congnatiQ</t>
  </si>
  <si>
    <t>Embocaps AP 60 - 00</t>
  </si>
  <si>
    <t>Balchem - Copper Bisglycinate Chelate - Product Code 3502</t>
  </si>
  <si>
    <t>Embocaps AP 60 - 000</t>
  </si>
  <si>
    <t>M Nutra - Copper Gluconate</t>
  </si>
  <si>
    <t>Embocaps AP 60 - 00E</t>
  </si>
  <si>
    <t>Embocaps AP 60 - 0E</t>
  </si>
  <si>
    <t>Stauber - Copper Gluconate</t>
  </si>
  <si>
    <t>Embocaps AP 60 - 1</t>
  </si>
  <si>
    <t>ErgoGold® mushroom extract</t>
  </si>
  <si>
    <t>Phytochem - CoQ10</t>
  </si>
  <si>
    <t>Erythritol</t>
  </si>
  <si>
    <t>Pure Assay - CoQ10 (Chinese)</t>
  </si>
  <si>
    <t>Erythritol 100 Mesh</t>
  </si>
  <si>
    <t>PC: CMMUWP11 Cordyceps militaris</t>
  </si>
  <si>
    <t>Nammex - Cordyceps extract</t>
  </si>
  <si>
    <t>Exberry Brilliant Orange Color Liquid - 10180001</t>
  </si>
  <si>
    <t>Exberry Brilliant Orange Color Powder - 10180005</t>
  </si>
  <si>
    <t>Exberry Brilliant Pink Powder (80180005)</t>
  </si>
  <si>
    <t>Exberry Shade Blue - Powder 60000002</t>
  </si>
  <si>
    <t>Comext</t>
  </si>
  <si>
    <t>Comext - Cordyceps Extract 10:01</t>
  </si>
  <si>
    <t>Exberry Shade Bordeaux Nat liquid (181524)</t>
  </si>
  <si>
    <t>Cordyceps Extract 8:01</t>
  </si>
  <si>
    <t>Nammex - Cordyceps Extract 8:01 (1 kg or 5kg packs)</t>
  </si>
  <si>
    <t>EXBERRY Shade Bright Yellow - Powder (23000002)</t>
  </si>
  <si>
    <t>Pure Assay - Cordyceps Sinensis P.E. 7%</t>
  </si>
  <si>
    <t>Exberry Shade Bright Yellow - Powder 23000002</t>
  </si>
  <si>
    <t>MTC Industries - Corn Maltodextrin</t>
  </si>
  <si>
    <t>EXBERRY Shade Bright Yellow Powder GNT Product No.: 23000002 (15kg packs)</t>
  </si>
  <si>
    <t>Food Ingredients - Corn Syrup 42/43 (drum)</t>
  </si>
  <si>
    <t>Exberry Shade Brilliant Pink - Powder 80180005</t>
  </si>
  <si>
    <t>660 lbs (299.37 kg)</t>
  </si>
  <si>
    <t>Food Ingredients - Corn Syrup 42/43 (pail)</t>
  </si>
  <si>
    <t>EXBERRY Shade Cherry Red Powder GNT Product No.: 153901 (15kg packs)</t>
  </si>
  <si>
    <t>660 lbs</t>
  </si>
  <si>
    <t>Food Ingredients - Corn Syrup 42/43/drum - A62950 (660 lbs)</t>
  </si>
  <si>
    <t>Exberry Shade Fiesta Pink - Powder 51420002</t>
  </si>
  <si>
    <t>60 lbs</t>
  </si>
  <si>
    <t>Food Ingredients - Corn Syrup 42/43/pail - A65850 (60 lbs)</t>
  </si>
  <si>
    <t>Exberry Shade Rubescent Red - Powder 79180004</t>
  </si>
  <si>
    <t>NP Nutra - Cranberry Fruit Powder</t>
  </si>
  <si>
    <t>Exberry Shade Veggie Red - Liquid - 84180007</t>
  </si>
  <si>
    <t>Sensient - Cranberry Red P-WS 503236-0020</t>
  </si>
  <si>
    <t>Exberry Shade Veggie Red - Powder 84180006</t>
  </si>
  <si>
    <t>JM Swank (Brenntag) - Cream of Tarter</t>
  </si>
  <si>
    <t>Exberry Shade Vivid Red - Powder 15330022</t>
  </si>
  <si>
    <t>Fuller Ingredients - Creatine 200mesh</t>
  </si>
  <si>
    <t>Fenugreek Seed Extract - 50% Saponins</t>
  </si>
  <si>
    <t>Pure Assay - Creatine HCL (80 mesh)</t>
  </si>
  <si>
    <t>FiberSMART</t>
  </si>
  <si>
    <t>Balchem - Creatine MagnaPower™ - Product Code 3465</t>
  </si>
  <si>
    <t>Fisetin</t>
  </si>
  <si>
    <t>Pacific Bridge - Creatine Mono 200 Mesh</t>
  </si>
  <si>
    <t>Fisetin 85%</t>
  </si>
  <si>
    <t>MTC Industries - Creatine Monohydrate</t>
  </si>
  <si>
    <t>Fisetin 98%</t>
  </si>
  <si>
    <t>Fish Collagen</t>
  </si>
  <si>
    <t>NutriVitaShop</t>
  </si>
  <si>
    <t>NutriVitaShop - Creatine Monohydrate</t>
  </si>
  <si>
    <t>Fish Hydrolyzed Collagen 3000Da</t>
  </si>
  <si>
    <t>Pure Assay - Creatine Monohydrate</t>
  </si>
  <si>
    <t>Fish Oil Powder Omega-3 10% (DHA 4%, EPA 5%) (20 kg/box)</t>
  </si>
  <si>
    <t>Pure Assay - Creatine Monohydrate (200 mesh)</t>
  </si>
  <si>
    <t>Flax Seed Powder</t>
  </si>
  <si>
    <t>Fifth NutriSupply - Creatine Monohydrate 200 mesh</t>
  </si>
  <si>
    <t>Folic Acid</t>
  </si>
  <si>
    <t>Stauber - Creatine Monohydrate 200 Mesh (Code: 21154-51475) (25kg box)</t>
  </si>
  <si>
    <t>FOS</t>
  </si>
  <si>
    <t>5000kg</t>
  </si>
  <si>
    <t>Freeze-dried Pomegranate Powder</t>
  </si>
  <si>
    <t>Fructooligosaccharides Inulin 90% (Chicory Root) (20kg pack)</t>
  </si>
  <si>
    <t>1300kg</t>
  </si>
  <si>
    <t>HD Nutrition - Creatine Monohydrate 200mesh</t>
  </si>
  <si>
    <t>Fructose</t>
  </si>
  <si>
    <t>6600kg</t>
  </si>
  <si>
    <t>Fructose - 25 kg</t>
  </si>
  <si>
    <t>13000kg</t>
  </si>
  <si>
    <t>Fructose (50 lb bag)</t>
  </si>
  <si>
    <t>NP Nutra - Curcumin</t>
  </si>
  <si>
    <t>Fructose (cyrstalline) Type M</t>
  </si>
  <si>
    <t>0.1kg</t>
  </si>
  <si>
    <t>Pure Assay - Cyanocobalamin (Vitamin B12)</t>
  </si>
  <si>
    <t>GABA</t>
  </si>
  <si>
    <t>0.1 kg</t>
  </si>
  <si>
    <t>GABA (Gamma Aminobutyric Acid)</t>
  </si>
  <si>
    <t>M Nutra - Cyanocobalamin (Vitamin B12) Pure</t>
  </si>
  <si>
    <t>Gamma Oryzanol</t>
  </si>
  <si>
    <t>SD Nutrition</t>
  </si>
  <si>
    <t>5KG</t>
  </si>
  <si>
    <t>SD Nutrition - Cyanotis Arachnoidea Extract (95% Ecdysterone 95% by HPLC)</t>
  </si>
  <si>
    <t>Gelatin - 0</t>
  </si>
  <si>
    <t>HD Nutrition - Cyanotis Arachnoidea Extract (95% Ecdysterone)</t>
  </si>
  <si>
    <t>Gelatin - 00</t>
  </si>
  <si>
    <t>JM Swank (Brenntag) - DA Baking Powder</t>
  </si>
  <si>
    <t>Gelatin - 000</t>
  </si>
  <si>
    <t>Pure Assay - D-Alpha Tocopheryl Acetate 700iu/g Powder</t>
  </si>
  <si>
    <t>Gelatin - 00FL / 00E</t>
  </si>
  <si>
    <t>M Nutra - d-alpha tocpheryl succinate (Vitamin E) 1185iu Natural</t>
  </si>
  <si>
    <t>Gelatin - 0FL / 0E</t>
  </si>
  <si>
    <t>Phytochem - d-alpha tocpheryl succinate (Vitamin E) 1210iu/g</t>
  </si>
  <si>
    <t>Gelatin - 1</t>
  </si>
  <si>
    <t>M Nutra - Dandelion extract (10:1)</t>
  </si>
  <si>
    <t>Gelatin - 1E</t>
  </si>
  <si>
    <t>Phytochem - Dandelion extract (10:1)</t>
  </si>
  <si>
    <t>Gelatin - 1S</t>
  </si>
  <si>
    <t>Pure Assay - Dandelion Root P.E. 4:1</t>
  </si>
  <si>
    <t>Gelatin - 2 / 3 / 4</t>
  </si>
  <si>
    <t>HD Nutrition - D-Biotin</t>
  </si>
  <si>
    <t>Gelatin - 5</t>
  </si>
  <si>
    <t>M Nutra - D-Calcium Pantothenate (B5)</t>
  </si>
  <si>
    <t>GeniusPureTM Alpha-GPC (20kg pack)</t>
  </si>
  <si>
    <t>Pure Assay - D-Calcium Pantothenate (B5)</t>
  </si>
  <si>
    <t>Gerkens Amber Natural Cocoa Powder 10-12%</t>
  </si>
  <si>
    <t>Germanium Sesquioxide</t>
  </si>
  <si>
    <t>HD Nutrition - D-Chiro Inositol</t>
  </si>
  <si>
    <t>GF WPI</t>
  </si>
  <si>
    <t>Nutri Avenue - D-Chiro-Inositol - 25kg</t>
  </si>
  <si>
    <t>Ginger Extract 10% Gingerols</t>
  </si>
  <si>
    <t>Nutri Avenue - D-Chiro-Inositol - 5kg</t>
  </si>
  <si>
    <t>Ginger Extract 517772 T - Alcohol Based</t>
  </si>
  <si>
    <t>Jiaherb - D-Chiro-Inositol (25 kg/box)</t>
  </si>
  <si>
    <t>Ginger Extract Powder 10:1</t>
  </si>
  <si>
    <t>Food Ingredients - Dextrose / ADM</t>
  </si>
  <si>
    <t>Ginger Extract Powder 2.5% Gingerol (HPLC)</t>
  </si>
  <si>
    <t>Food Ingredients - Dextrose / Ingredion</t>
  </si>
  <si>
    <t>Ginger Extract Powder 4:1</t>
  </si>
  <si>
    <t>Food Chem</t>
  </si>
  <si>
    <t>Food Chem - Dextrose Anhydrous</t>
  </si>
  <si>
    <t>Ginger Flavor 2849C PDR</t>
  </si>
  <si>
    <t>Cerelose</t>
  </si>
  <si>
    <t>CERELOSE Anhydrous Dextrose 024010 Technical Specification.pdf</t>
  </si>
  <si>
    <t>Food Ingredients - Dextrose Anhydrous</t>
  </si>
  <si>
    <t>Ginger Powder (organic) - SKU 745 Pack Size / MOQ - 15kg</t>
  </si>
  <si>
    <t>Spec Sheet -Dextrose Anhydrous.pdf</t>
  </si>
  <si>
    <t>Ingredion - Dextrose Anhydrous</t>
  </si>
  <si>
    <t>Ginger Root Extract (50:1)</t>
  </si>
  <si>
    <t>SPEC-S11648-BAOLINGBAO.pdf</t>
  </si>
  <si>
    <t>M Nutra - Dextrose Anhydrous</t>
  </si>
  <si>
    <t>Ginger Root Extract 10:1</t>
  </si>
  <si>
    <t>Pacific Bridge - Dextrose Anhydrous</t>
  </si>
  <si>
    <t>Ginger Root Extract 10:1 ( Extract Solvent: Water )</t>
  </si>
  <si>
    <t>Food Ingredients - Dextrose/ADM - A4030 (50 lbs)</t>
  </si>
  <si>
    <t>Ginger Root Extract 10:1 Powder (25kg packs)</t>
  </si>
  <si>
    <t>Food Ingredients - Dextrose/Ingredion - A21200 (50 lbs)</t>
  </si>
  <si>
    <t>Ginger Root Extract 10:1 Water Soluble</t>
  </si>
  <si>
    <t>Jiaherb - DHA Powder from Algae 10% (25 kg/box)</t>
  </si>
  <si>
    <t>Ginger Root Extract 4:1 - 20kg pack</t>
  </si>
  <si>
    <t>1 kg</t>
  </si>
  <si>
    <t>Pure Assay - DHEA</t>
  </si>
  <si>
    <t>Ginger Root Extract 5% Gingerols HPLC (25kg packs)</t>
  </si>
  <si>
    <t>Specialty Enzymes and Probiotics</t>
  </si>
  <si>
    <t>Specialty Enzymes and Probiotics - DigeSEB Super</t>
  </si>
  <si>
    <t>Ginger Root Extract 5% HPLC-Gingerols (HE0065)</t>
  </si>
  <si>
    <t>HD Nutrition - Dihydroberberine</t>
  </si>
  <si>
    <t>Ginger Root Extract Powder 10:1</t>
  </si>
  <si>
    <t>Pure Assay - Dihydromyricetin</t>
  </si>
  <si>
    <t>Ginger Root Powder</t>
  </si>
  <si>
    <t>Pure Assay - Diindolylmethane</t>
  </si>
  <si>
    <t>Ginger Root Powder (Conventional)</t>
  </si>
  <si>
    <t>Stauber - DimaCal (Dicalcium Malate) (26569-59473) (25kg pack)</t>
  </si>
  <si>
    <t>Ginkgo Biloba Extract (24%)</t>
  </si>
  <si>
    <t>Dimagnesium Phoshate FCC #26829 REEPHOS Spec Sheet.pdf</t>
  </si>
  <si>
    <t>Balchem - Dimagnesium Malate - Product Code 4048</t>
  </si>
  <si>
    <t>Ginkgo Biloba P.E. 24/6</t>
  </si>
  <si>
    <t>Prinova - DIMAGNESIUM PHOSPHATE LOW METAL</t>
  </si>
  <si>
    <t>Glutamine</t>
  </si>
  <si>
    <t>Phytochem - DL-Alpha Tocopheryl (Vitamin E) Acetate 700iu/g</t>
  </si>
  <si>
    <t>Glutathione</t>
  </si>
  <si>
    <t>Pure Assay - Dl-Alpha Tocopheryl Acetate 50% SD (Vitamin E) Powder CWS</t>
  </si>
  <si>
    <t>Glycerin</t>
  </si>
  <si>
    <t>Pure Assay - DL-Choline Bitartrate Coated</t>
  </si>
  <si>
    <t>Glycerol Monostearate 95%</t>
  </si>
  <si>
    <t>Pure Assay - DL-Methionine</t>
  </si>
  <si>
    <t>Glycine</t>
  </si>
  <si>
    <t>Pure Assay - D-Mannose</t>
  </si>
  <si>
    <t>Glycine (25kg bag)</t>
  </si>
  <si>
    <t>HD Nutrition - D-Ribose</t>
  </si>
  <si>
    <t>GOFOS 95</t>
  </si>
  <si>
    <t>Pure Assay - D-Ribose Powder</t>
  </si>
  <si>
    <t>Granulated Honey</t>
  </si>
  <si>
    <t>American Ingredients Inc.</t>
  </si>
  <si>
    <t>2000 lbs</t>
  </si>
  <si>
    <t>Dried Honey</t>
  </si>
  <si>
    <t>American Ingredients Inc. - Dried Honey 70</t>
  </si>
  <si>
    <t>Granulated Honey - 50 lb bag</t>
  </si>
  <si>
    <t>Less than 2000 lbs</t>
  </si>
  <si>
    <t>Grape 5130C PDR 19.10</t>
  </si>
  <si>
    <t>Dynamine</t>
  </si>
  <si>
    <t>Compound Solutions</t>
  </si>
  <si>
    <t>Compound Solutions - Dynamine 35% Natural</t>
  </si>
  <si>
    <t>Grape 6367C PDR</t>
  </si>
  <si>
    <t>Compound Solutions - Dynamine 40%</t>
  </si>
  <si>
    <t>Grape Hi-Actives Powder</t>
  </si>
  <si>
    <t>Compound Solutions - Dynamine Pure</t>
  </si>
  <si>
    <t>Grape Seed Extract</t>
  </si>
  <si>
    <t>JM Swank (Brenntag) - EFG Cane Sugar</t>
  </si>
  <si>
    <t>Grape Seed Extract (100:1)</t>
  </si>
  <si>
    <t>NP Nutra - Elderberry Fruit Extract</t>
  </si>
  <si>
    <t>Grape Seed Extract (100:1), 95% (Proanthocyanidins)</t>
  </si>
  <si>
    <t>Embo Caps</t>
  </si>
  <si>
    <t>Capsules</t>
  </si>
  <si>
    <t>Embo Caps - Embocaps AP 60 - 0 / 2 / 3 / 4</t>
  </si>
  <si>
    <t>Grape Seed Extract (95%) (25 kg)</t>
  </si>
  <si>
    <t>Embo Caps - Embocaps AP 60 - 00</t>
  </si>
  <si>
    <t>Grape Seed Extract 95% Proanthocyanidins UV</t>
  </si>
  <si>
    <t>Embo Caps - Embocaps AP 60 - 000</t>
  </si>
  <si>
    <t>Grape Type Nat Flavor 8808B-O PDR</t>
  </si>
  <si>
    <t>Embo Caps - Embocaps AP 60 - 00E</t>
  </si>
  <si>
    <t>Grapefruit Seed P.E. 4:1</t>
  </si>
  <si>
    <t>Embo Caps - Embocaps AP 60 - 0E</t>
  </si>
  <si>
    <t>Grass Fed WPI 90%</t>
  </si>
  <si>
    <t>Embo Caps - Embocaps AP 60 - 1</t>
  </si>
  <si>
    <t>Green Balance</t>
  </si>
  <si>
    <t>PC: PGMUWP11 Pleurotus citrinopilateus</t>
  </si>
  <si>
    <t>Nammex - ErgoGold® mushroom extract</t>
  </si>
  <si>
    <t>Green Banana Powder (organic) - SKU 859 (10kg pack)</t>
  </si>
  <si>
    <t>Green Coffee Bean P.E. 45%</t>
  </si>
  <si>
    <t>Green Coffee Extract (10kg or 25 kg packs)</t>
  </si>
  <si>
    <t>Inquire</t>
  </si>
  <si>
    <t>Green Tea Extract 98% Caffeine</t>
  </si>
  <si>
    <t>Exberry Brillant Orange Color Liquid</t>
  </si>
  <si>
    <t>Andersen Advanced Ingredients - Erythritol</t>
  </si>
  <si>
    <t>Green Tea P.E. 98% (50% EGCG)</t>
  </si>
  <si>
    <t>North Central Companies</t>
  </si>
  <si>
    <t>275kg</t>
  </si>
  <si>
    <t>North Central Companies - Erythritol 100 Mesh</t>
  </si>
  <si>
    <t>Griffonia Seed Extract (5-HTP)</t>
  </si>
  <si>
    <t>GNT</t>
  </si>
  <si>
    <t>Colors</t>
  </si>
  <si>
    <t>12.47 kg</t>
  </si>
  <si>
    <t>Exberry Brilliant Orange Color Powder</t>
  </si>
  <si>
    <t>GNT - Exberry Brilliant Orange Color Liquid - 10180001</t>
  </si>
  <si>
    <t>HemiSEB</t>
  </si>
  <si>
    <t>DDW-PTW-462004 PDS (2).pdf</t>
  </si>
  <si>
    <t>GNT - Exberry Brilliant Orange Color Powder - 10180005</t>
  </si>
  <si>
    <t>Hesperidin Methyl Chalcone</t>
  </si>
  <si>
    <t>GNT - Exberry Brilliant Pink Powder (80180005)</t>
  </si>
  <si>
    <t>Himalayan Pink Salt</t>
  </si>
  <si>
    <t>GNT - Exberry Shade Blue - Powder 60000002</t>
  </si>
  <si>
    <t>HMB Calcium</t>
  </si>
  <si>
    <t>GNT - Exberry Shade Bordeaux Nat liquid (181524)</t>
  </si>
  <si>
    <t>Honey</t>
  </si>
  <si>
    <t>GNT - EXBERRY Shade Bright Yellow - Powder (23000002)</t>
  </si>
  <si>
    <t>Honey Granules (50 lb bag)</t>
  </si>
  <si>
    <t>GNT - Exberry Shade Bright Yellow - Powder 23000002</t>
  </si>
  <si>
    <t>Honey Granules (pallet = 2,250 lbs)</t>
  </si>
  <si>
    <t>EXBERRY Shade Bright Yellow Powder GNT Product No.: 23000002</t>
  </si>
  <si>
    <t>GNT - EXBERRY Shade Bright Yellow Powder GNT Product No.: 23000002 (15kg packs)</t>
  </si>
  <si>
    <t>Horchata Flavor 4346C PDR</t>
  </si>
  <si>
    <t>GNT - Exberry Shade Brilliant Pink - Powder 80180005</t>
  </si>
  <si>
    <t>Horny Goat Extract 10% Icariin</t>
  </si>
  <si>
    <t>EXBERRY Shade Cherry Red Powder GNT Product No.: 153901</t>
  </si>
  <si>
    <t>GNT - EXBERRY Shade Cherry Red Powder GNT Product No.: 153901 (15kg packs)</t>
  </si>
  <si>
    <t>HPMC VG Alpha - 0 / 1 / 2 / 3 / 4</t>
  </si>
  <si>
    <t>GNT - Exberry Shade Fiesta Pink - Powder 51420002</t>
  </si>
  <si>
    <t>HPMC VG Alpha - 00</t>
  </si>
  <si>
    <t>GNT - Exberry Shade Rubescent Red - Powder 79180004</t>
  </si>
  <si>
    <t>HPMC VG Alpha - 000</t>
  </si>
  <si>
    <t>ProdSpec__90-41133_84180007_14225_1352.pdf</t>
  </si>
  <si>
    <t>GNT - Exberry Shade Veggie Red - Liquid - 84180007</t>
  </si>
  <si>
    <t>HPMC VG Alpha - 00E</t>
  </si>
  <si>
    <t>GNT - Exberry Shade Veggie Red - Powder 84180006</t>
  </si>
  <si>
    <t>HPMC VG Alpha - 0E</t>
  </si>
  <si>
    <t>GNT - Exberry Shade Vivid Red - Powder 15330022</t>
  </si>
  <si>
    <t>HPMC VG Pro - 0</t>
  </si>
  <si>
    <t>Comext Nutrition Inc. - Fenugreek Seed Extract - 50% Saponins</t>
  </si>
  <si>
    <t>HPMC VG Pro - 00</t>
  </si>
  <si>
    <t>Andersen Advanced Ingredients - FiberSMART</t>
  </si>
  <si>
    <t>HPMC VG Pro - 000</t>
  </si>
  <si>
    <t>Phytochem - Fisetin</t>
  </si>
  <si>
    <t>HPMC VG Pro - 00FL / 00E</t>
  </si>
  <si>
    <t>M Nutra - Fisetin 85%</t>
  </si>
  <si>
    <t>HPMC VG Pro - 0FL / 0E</t>
  </si>
  <si>
    <t>HD Nutrition - Fisetin 98%</t>
  </si>
  <si>
    <t>HPMC VG Pro - 1</t>
  </si>
  <si>
    <t>M Nutra - Fisetin 98%</t>
  </si>
  <si>
    <t>HPMC VG Pro - 1E</t>
  </si>
  <si>
    <t>10KG</t>
  </si>
  <si>
    <t>SD Nutrition - Fisetin 98%</t>
  </si>
  <si>
    <t>HPMC VG Pro - 1S</t>
  </si>
  <si>
    <t>MOQ (kg)</t>
  </si>
  <si>
    <t>FifthNutriSupply - Fish Collagen</t>
  </si>
  <si>
    <t>HPMC VG Pro - 2 / 3 / 4</t>
  </si>
  <si>
    <t>Jiaherb - Fish Hydrolyzed Collagen 3000Da</t>
  </si>
  <si>
    <t>HPMC VG Pro - 5</t>
  </si>
  <si>
    <t>Jiaherb - Fish Oil Powder Omega-3 10% (DHA 4%, EPA 5%) (20 kg/box)</t>
  </si>
  <si>
    <t>Huperzine A 1%</t>
  </si>
  <si>
    <t>UMC Ingredients</t>
  </si>
  <si>
    <t>UMC Ingredients - Flax Seed Powder</t>
  </si>
  <si>
    <t>Huperzine-A</t>
  </si>
  <si>
    <t>MTC Industries - Folic Acid</t>
  </si>
  <si>
    <t>Hydrolized Bovine Collagen</t>
  </si>
  <si>
    <t>GOFOS</t>
  </si>
  <si>
    <t>150kg</t>
  </si>
  <si>
    <t>SPECIFICATION - GOFOS P95 GL-U FCC - GALAM LTD (1) (1).pdf</t>
  </si>
  <si>
    <t>LBB Specialties - FOS</t>
  </si>
  <si>
    <t>Hydrolyzed Bovine Collagen</t>
  </si>
  <si>
    <t>Total Ingredients</t>
  </si>
  <si>
    <t>Total Ingredients - FOS</t>
  </si>
  <si>
    <t>Hydrolyzed Collagen Peptides (bovine)</t>
  </si>
  <si>
    <t>N1151</t>
  </si>
  <si>
    <t>21152 Specification Sheet R8-24 (ID 3127904) (1).pdf</t>
  </si>
  <si>
    <t>Future Ceuticals - Freeze-dried Pomegranate Powder</t>
  </si>
  <si>
    <t>Hydrolyzed Fish Collagen - 32723</t>
  </si>
  <si>
    <t>Frutafit® IQ</t>
  </si>
  <si>
    <t>Stauber - Fructooligosaccharides Inulin 90% (Chicory Root) (20kg pack)</t>
  </si>
  <si>
    <t>Hydrolyzed Fish Collagen (20 kg bag)</t>
  </si>
  <si>
    <t>Î²-NAD +(Î²-Nicotinamide Adenine Dinucleotide)</t>
  </si>
  <si>
    <t>40kg</t>
  </si>
  <si>
    <t>IBCAA's 2:1:1</t>
  </si>
  <si>
    <t>American Ingredients Inc. - Fructose</t>
  </si>
  <si>
    <t>Indole-3-Carbinol</t>
  </si>
  <si>
    <t>Infinergy</t>
  </si>
  <si>
    <t>Food Guys</t>
  </si>
  <si>
    <t>Food Guys - Fructose - 25 kg</t>
  </si>
  <si>
    <t>InnoSlim</t>
  </si>
  <si>
    <t>Food Ingredients - Fructose (50 lb bag)</t>
  </si>
  <si>
    <t>Inositol</t>
  </si>
  <si>
    <t>CRYSTALLINE FRUCTOSE TYPE M</t>
  </si>
  <si>
    <t>IMCDUS - Fructose (cyrstalline) Type M</t>
  </si>
  <si>
    <t>Inositol (25 kg/box)</t>
  </si>
  <si>
    <t>M Nutra - GABA</t>
  </si>
  <si>
    <t>Inulin (from Artichoke) - powder</t>
  </si>
  <si>
    <t>Phytochem - GABA</t>
  </si>
  <si>
    <t>Inulin 90%</t>
  </si>
  <si>
    <t>Pure Assay - GABA (Gamma Aminobutyric Acid)</t>
  </si>
  <si>
    <t>Inulin Agave (Ticorganic) 38910901</t>
  </si>
  <si>
    <t>Pure Assay - Gamma Oryzanol</t>
  </si>
  <si>
    <t>iXOS</t>
  </si>
  <si>
    <t>Embo Caps - Gelatin - 0</t>
  </si>
  <si>
    <t>Kale</t>
  </si>
  <si>
    <t>Embo Caps - Gelatin - 00</t>
  </si>
  <si>
    <t>King Trumpet Mushroom</t>
  </si>
  <si>
    <t>Embo Caps - Gelatin - 000</t>
  </si>
  <si>
    <t>KSM-66</t>
  </si>
  <si>
    <t>Embo Caps - Gelatin - 00FL / 00E</t>
  </si>
  <si>
    <t>L - Aspartic Acid - 15303 (25 kg drum)</t>
  </si>
  <si>
    <t>Embo Caps - Gelatin - 0FL / 0E</t>
  </si>
  <si>
    <t>L Gasseri HH-LG07</t>
  </si>
  <si>
    <t>Embo Caps - Gelatin - 1</t>
  </si>
  <si>
    <t>L- Theanine 20% HPLC (Green Tea Extract )</t>
  </si>
  <si>
    <t>Embo Caps - Gelatin - 1E</t>
  </si>
  <si>
    <t>L. Gasseri CP2305</t>
  </si>
  <si>
    <t>Embo Caps - Gelatin - 1S</t>
  </si>
  <si>
    <t>L-5-Methyl THF Calcium</t>
  </si>
  <si>
    <t>Embo Caps - Gelatin - 2 / 3 / 4</t>
  </si>
  <si>
    <t>LactoSpore® 100B (1201) Bacillus coagulans (MTCC 5856)</t>
  </si>
  <si>
    <t>Embo Caps - Gelatin - 5</t>
  </si>
  <si>
    <t>LactoSpore® 15B (1200)</t>
  </si>
  <si>
    <t>NNB Nutrition</t>
  </si>
  <si>
    <t>20kg-1000kg</t>
  </si>
  <si>
    <t>GeniusPureTM Alpha-GPC</t>
  </si>
  <si>
    <t>NNB Nutrition - GeniusPureTM Alpha-GPC (20kg pack)</t>
  </si>
  <si>
    <t>LactoSpore® 6B (1205)</t>
  </si>
  <si>
    <t>1000kg-5000kg</t>
  </si>
  <si>
    <t>Laminaria Digitata Extract</t>
  </si>
  <si>
    <t>5000kg+</t>
  </si>
  <si>
    <t>Larch Fiber</t>
  </si>
  <si>
    <t>16..55</t>
  </si>
  <si>
    <t>90.72kg</t>
  </si>
  <si>
    <t>Cocoa powder Product Specification 10-12% ON01 ORGANIC</t>
  </si>
  <si>
    <t>Gillco - Gerkens Amber Natural Cocoa Powder 10-12%</t>
  </si>
  <si>
    <t>L-Arginine</t>
  </si>
  <si>
    <t>M Nutra - Germanium Sesquioxide</t>
  </si>
  <si>
    <t>L-Arginine Alpha Ketoglutarate 2:1</t>
  </si>
  <si>
    <t>Mill Haven Foods</t>
  </si>
  <si>
    <t>800kg</t>
  </si>
  <si>
    <t>Mill Haven Foods - GF WPI</t>
  </si>
  <si>
    <t>L-Arginine Base</t>
  </si>
  <si>
    <t>M Nutra - Ginger Extract 10% Gingerols</t>
  </si>
  <si>
    <t>L-Arginine HCL</t>
  </si>
  <si>
    <t>IMCDUS - Ginger Extract 517772 T - Alcohol Based</t>
  </si>
  <si>
    <t>L-Arginine L-Pyroglutamate</t>
  </si>
  <si>
    <t>Green Jeeva - Ginger Extract Powder 10:1</t>
  </si>
  <si>
    <t>L-Asparagine Monohydrate</t>
  </si>
  <si>
    <t>Green Jeeva - Ginger Extract Powder 2.5% Gingerol (HPLC)</t>
  </si>
  <si>
    <t>L-Aspartic Acid</t>
  </si>
  <si>
    <t>Green Jeeva - Ginger Extract Powder 4:1</t>
  </si>
  <si>
    <t>Lavender Nat WONF 5856C liquid</t>
  </si>
  <si>
    <t>OSF Flavors - Ginger Flavor 2849C PDR</t>
  </si>
  <si>
    <t>L-Carnitine Base</t>
  </si>
  <si>
    <t>15kg-100kg</t>
  </si>
  <si>
    <t>Fuller Ingredients - Ginger Powder (organic) - SKU 745 Pack Size / MOQ - 15kg</t>
  </si>
  <si>
    <t>L-Carnitine HCL - powder</t>
  </si>
  <si>
    <t>100kg-449kg</t>
  </si>
  <si>
    <t>L-Carnitine L-Tartrate</t>
  </si>
  <si>
    <t>450kg-999kg</t>
  </si>
  <si>
    <t>HD Nutrition - Ginger Powder (organic) - SKU 745 Pack Size / MOQ - 15kg</t>
  </si>
  <si>
    <t>L-Carnitine Tartrate</t>
  </si>
  <si>
    <t>1000kg+</t>
  </si>
  <si>
    <t>M Nutra - Ginger Powder (organic) - SKU 745 Pack Size / MOQ - 15kg</t>
  </si>
  <si>
    <t>L-Carnosine</t>
  </si>
  <si>
    <t>Phytochem - Ginger Root Extract (50:1)</t>
  </si>
  <si>
    <t>L-Citrulline</t>
  </si>
  <si>
    <t>Jiaherb - Ginger Root Extract 10:1</t>
  </si>
  <si>
    <t>L-Citrulline DL-Malate 2:1</t>
  </si>
  <si>
    <t>MCT Dairies</t>
  </si>
  <si>
    <t>MCT Dairies - Ginger Root Extract 10:1 ( Extract Solvent: Water )</t>
  </si>
  <si>
    <t>L-Citrulline Malate 2:1</t>
  </si>
  <si>
    <t>Alexandre Family Farm</t>
  </si>
  <si>
    <t>Ginger Root Extract 10:1 Powder</t>
  </si>
  <si>
    <t>Alexandre Family Farm - Ginger Root Extract 10:1 Powder (25kg packs)</t>
  </si>
  <si>
    <t>L-Cysteine HCL monohydrate</t>
  </si>
  <si>
    <t>Jiaherb - Ginger Root Extract 10:1 Water Soluble</t>
  </si>
  <si>
    <t>L-Cysteine Mono HCL</t>
  </si>
  <si>
    <t>Ginger Root</t>
  </si>
  <si>
    <t>Jiaherb - Ginger Root Extract 4:1 - 20kg pack</t>
  </si>
  <si>
    <t>Lemon Juice Concentrate 400 GPL (LEJC40F-0001-PA51) 51 lbs pales)</t>
  </si>
  <si>
    <t>Ginger Root Extract 5% Gingerols HPLC</t>
  </si>
  <si>
    <t>M Nutra - Ginger Root Extract 5% Gingerols HPLC (25kg packs)</t>
  </si>
  <si>
    <t>Lemon Lime 5419 PDR</t>
  </si>
  <si>
    <t>Jiaherb - Ginger Root Extract 5% HPLC-Gingerols (HE0065)</t>
  </si>
  <si>
    <t>Lemon Nat WONF 3682B PDR</t>
  </si>
  <si>
    <t>Green Jeeva - Ginger Root Extract Powder 10:1</t>
  </si>
  <si>
    <t>Lemonade Flavor WONF- L-304 (25kg pack)</t>
  </si>
  <si>
    <t>M Nutra - Ginger Root Powder</t>
  </si>
  <si>
    <t>L-Ergothioneine</t>
  </si>
  <si>
    <t>Phytochem - Ginger Root Powder</t>
  </si>
  <si>
    <t>Levagen</t>
  </si>
  <si>
    <t>Green Jeeva - Ginger Root Powder (Conventional)</t>
  </si>
  <si>
    <t>L-Glutamine</t>
  </si>
  <si>
    <t>M Nutra - Ginkgo Biloba Extract (24%)</t>
  </si>
  <si>
    <t>L-Glutamine Alpha Ketoglutarate 2:1</t>
  </si>
  <si>
    <t>Phytochem - Ginkgo Biloba Extract (24%)</t>
  </si>
  <si>
    <t>L-Glutathione</t>
  </si>
  <si>
    <t>Pure Assay - Ginkgo Biloba P.E. 24/6</t>
  </si>
  <si>
    <t>L-Glutathione (reduced)</t>
  </si>
  <si>
    <t>M Nutra - Glutamine</t>
  </si>
  <si>
    <t>L-Glutathione Reduced</t>
  </si>
  <si>
    <t>Pacific Bridge - Glutamine</t>
  </si>
  <si>
    <t>L-Glutathione Reduced Powder</t>
  </si>
  <si>
    <t>HD Nutrition - Glutathione</t>
  </si>
  <si>
    <t>L-Glycine</t>
  </si>
  <si>
    <t>ADM</t>
  </si>
  <si>
    <t>ADM - Glycerin</t>
  </si>
  <si>
    <t>L-Histidine</t>
  </si>
  <si>
    <t>Pure Assay - Glycerol Monostearate 95%</t>
  </si>
  <si>
    <t>L-Histidine Base (repack 1 kg)</t>
  </si>
  <si>
    <t>M Nutra - Glycine</t>
  </si>
  <si>
    <t>Lion’s Mane extract</t>
  </si>
  <si>
    <t>Pure Assay - Glycine</t>
  </si>
  <si>
    <t>Lion’s Mane mushroom extract (25kg bags) ($1000 min.)</t>
  </si>
  <si>
    <t>Pure Assay - Glycine (25kg bag)</t>
  </si>
  <si>
    <t>Lion's Mane Extract 10:01</t>
  </si>
  <si>
    <t>SPECIFICATION - GOFOS P95 GL-U FCC - GALAM LTD (1) (3).pdf</t>
  </si>
  <si>
    <t>LBB Specialties - GOFOS 95</t>
  </si>
  <si>
    <t>Liposomal NAD+</t>
  </si>
  <si>
    <t>Food Ingredients - Granulated Honey</t>
  </si>
  <si>
    <t>Liposomal NMN</t>
  </si>
  <si>
    <t>2500 lbs</t>
  </si>
  <si>
    <t>Food Guys - Granulated Honey - 50 lb bag</t>
  </si>
  <si>
    <t>Liposomal Pureway-C® fine powder</t>
  </si>
  <si>
    <t>OSF Flavors - Grape 5130C PDR 19.10</t>
  </si>
  <si>
    <t>Liposomal Pureway-C® water dispersible Powder</t>
  </si>
  <si>
    <t>OSF Flavors - Grape 6367C PDR</t>
  </si>
  <si>
    <t>Liposomax ® + Glutathione fine powder</t>
  </si>
  <si>
    <t>N49</t>
  </si>
  <si>
    <t>Future Ceuticals - Grape Hi-Actives Powder</t>
  </si>
  <si>
    <t>Liposomax ® + Glutathione water dispersible Powder</t>
  </si>
  <si>
    <t>NP Nutra - Grape Seed Extract</t>
  </si>
  <si>
    <t>Liposomax ® + Magnesium Glycinate fine powder</t>
  </si>
  <si>
    <t>Liposomax ® + Magnesium Glycinate water dispersible Powder</t>
  </si>
  <si>
    <t>Phytochem - Grape Seed Extract (100:1)</t>
  </si>
  <si>
    <t>Liposomax® + CoQ10 Fine Powder</t>
  </si>
  <si>
    <t>M Nutra - Grape Seed Extract (100:1), 95% (Proanthocyanidins)</t>
  </si>
  <si>
    <t>Liposomax® + Creatine Fine Powder</t>
  </si>
  <si>
    <t>Phytochem - Grape Seed Extract (95%) (25 kg)</t>
  </si>
  <si>
    <t>Liposomax® + Creatine water dispersible Powder</t>
  </si>
  <si>
    <t>Jiaherb - Grape Seed Extract 95% Proanthocyanidins UV</t>
  </si>
  <si>
    <t>L-Isoleucine</t>
  </si>
  <si>
    <t>OSF Flavors - Grape Type Nat Flavor 8808B-O PDR</t>
  </si>
  <si>
    <t>L-Isoleucine (25 kg)</t>
  </si>
  <si>
    <t>Pure Assay - Grapefruit Seed P.E. 4:1</t>
  </si>
  <si>
    <t>L-Leucine</t>
  </si>
  <si>
    <t>Pacific Bridge - Grass Fed WPI 90%</t>
  </si>
  <si>
    <t>L-Leucine (25 kg)</t>
  </si>
  <si>
    <t>Nature Power Pharmacuticals</t>
  </si>
  <si>
    <t>Nature Power Pharmacuticals - Green Balance</t>
  </si>
  <si>
    <t>L-Leucine Instant</t>
  </si>
  <si>
    <t>10-100kg</t>
  </si>
  <si>
    <t>Green Banana Powder (organic) - SKU 859</t>
  </si>
  <si>
    <t>NP Nutra - Green Banana Powder (organic) - SKU 859 (10kg pack)</t>
  </si>
  <si>
    <t>L-Leucine Instant Vegan Fermented</t>
  </si>
  <si>
    <t>100kg-500kg</t>
  </si>
  <si>
    <t>L-Lysine</t>
  </si>
  <si>
    <t>L-Lysine HCl</t>
  </si>
  <si>
    <t>L-Lysine HCL Granular</t>
  </si>
  <si>
    <t>Pure Assay - Green Coffee Bean P.E. 45%</t>
  </si>
  <si>
    <t>L-Lysine Mono HCL</t>
  </si>
  <si>
    <t>Givaudan</t>
  </si>
  <si>
    <t>Green Coffee Extract</t>
  </si>
  <si>
    <t>Givaudan - Green Coffee Extract (10kg or 25 kg packs)</t>
  </si>
  <si>
    <t>L-Lysine Mono HCL (25 kg)</t>
  </si>
  <si>
    <t>Layn USA</t>
  </si>
  <si>
    <t>Layn COA - Green Tea Extract 98% Caffeine (GTE54-24121301).pdf</t>
  </si>
  <si>
    <t>Layn USA - Green Tea Extract 98% Caffeine</t>
  </si>
  <si>
    <t>L-Malic Acid</t>
  </si>
  <si>
    <t>Pure Assay - Green Tea P.E. 98% (50% EGCG)</t>
  </si>
  <si>
    <t>L-Methionine</t>
  </si>
  <si>
    <t>Phytochem - Griffonia Seed Extract (5-HTP)</t>
  </si>
  <si>
    <t>L-Methionine (25 kg)</t>
  </si>
  <si>
    <t>Specialty Enzymes and Probiotics - HemiSEB</t>
  </si>
  <si>
    <t>L-Methyl Folate (as 1,333 mcg DFE / 800 mcg folic acid) (100 g)</t>
  </si>
  <si>
    <t>Pure Assay - Hesperidin Methyl Chalcone</t>
  </si>
  <si>
    <t>L-Methylfolate Calcium</t>
  </si>
  <si>
    <t>Ancient Ocean®</t>
  </si>
  <si>
    <t>55-2000lb</t>
  </si>
  <si>
    <t>Salt Works - Himalayan Pink Salt</t>
  </si>
  <si>
    <t>L-Phenylalanine</t>
  </si>
  <si>
    <t>2000-4400lb</t>
  </si>
  <si>
    <t>L-Phenylalanine (25 kg)</t>
  </si>
  <si>
    <t>1995.806kg</t>
  </si>
  <si>
    <t>L-Selenomethionine</t>
  </si>
  <si>
    <t>HD Nutrition - HMB Calcium</t>
  </si>
  <si>
    <t>L-Selenomethionine Trit 0.5% 24989-57548 (25kg box)</t>
  </si>
  <si>
    <t>1451.49 kg</t>
  </si>
  <si>
    <t>North Central - Honey</t>
  </si>
  <si>
    <t>L-Taurine</t>
  </si>
  <si>
    <t>American International Ingredients</t>
  </si>
  <si>
    <t>Honey Granules</t>
  </si>
  <si>
    <t>American International Ingredients - Honey Granules (50 lb bag)</t>
  </si>
  <si>
    <t>L-Theanine</t>
  </si>
  <si>
    <t>1028.58 kg</t>
  </si>
  <si>
    <t>American International Ingredients - Honey Granules (pallet = 2,250 lbs)</t>
  </si>
  <si>
    <t>L-Theanine (25kg packs)</t>
  </si>
  <si>
    <t>OSF Flavors - Horchata Flavor 4346C PDR</t>
  </si>
  <si>
    <t>L-Theanine 99% ferment</t>
  </si>
  <si>
    <t>HD Nutrition - Horny Goat Extract 10% Icariin</t>
  </si>
  <si>
    <t>L-Threonine</t>
  </si>
  <si>
    <t>Embo Caps - HPMC VG Alpha - 0 / 1 / 2 / 3 / 4</t>
  </si>
  <si>
    <t>L-Threonine (25 kg)</t>
  </si>
  <si>
    <t>Embo Caps - HPMC VG Alpha - 00</t>
  </si>
  <si>
    <t>L-Tryptophan</t>
  </si>
  <si>
    <t>Embo Caps - HPMC VG Alpha - 000</t>
  </si>
  <si>
    <t>L-Tryptophan (25 kg)</t>
  </si>
  <si>
    <t>Embo Caps - HPMC VG Alpha - 00E</t>
  </si>
  <si>
    <t>L-Tryptophan 98%</t>
  </si>
  <si>
    <t>Embo Caps - HPMC VG Alpha - 0E</t>
  </si>
  <si>
    <t>L-Tyrosine</t>
  </si>
  <si>
    <t>Embo Caps - HPMC VG Pro - 0</t>
  </si>
  <si>
    <t>L-Valine</t>
  </si>
  <si>
    <t>Embo Caps - HPMC VG Pro - 00</t>
  </si>
  <si>
    <t>Lychee 5863B PDR</t>
  </si>
  <si>
    <t>Embo Caps - HPMC VG Pro - 000</t>
  </si>
  <si>
    <t>Lycopene (10% Beadlet) (25 kg)</t>
  </si>
  <si>
    <t>Embo Caps - HPMC VG Pro - 00FL / 00E</t>
  </si>
  <si>
    <t>Lycopene 10% HPLC (synthetic) beadlet</t>
  </si>
  <si>
    <t>Embo Caps - HPMC VG Pro - 0FL / 0E</t>
  </si>
  <si>
    <t>Lycopene 10% Powder</t>
  </si>
  <si>
    <t>Embo Caps - HPMC VG Pro - 1</t>
  </si>
  <si>
    <t>M100 Maltodextrin</t>
  </si>
  <si>
    <t>Embo Caps - HPMC VG Pro - 1E</t>
  </si>
  <si>
    <t>M100 Maltodextrin - A2810 (50 lbs)</t>
  </si>
  <si>
    <t>Embo Caps - HPMC VG Pro - 1S</t>
  </si>
  <si>
    <t>M100 Maltodextrin (code=A2810) (50 lb pack)</t>
  </si>
  <si>
    <t>Embo Caps - HPMC VG Pro - 2 / 3 / 4</t>
  </si>
  <si>
    <t>Maca Powder</t>
  </si>
  <si>
    <t>Embo Caps - HPMC VG Pro - 5</t>
  </si>
  <si>
    <t>Madagascar Bourbon Pure Vanilla Powder (5lb pack)</t>
  </si>
  <si>
    <t>Pure Assay - Huperzine A 1%</t>
  </si>
  <si>
    <t>Magnesium Bisglycinate 11% 20%</t>
  </si>
  <si>
    <t>Jeeva Organic</t>
  </si>
  <si>
    <t>Jeeva Organic - Huperzine-A</t>
  </si>
  <si>
    <t>Magnesium Bisglycinate Chelate 03476</t>
  </si>
  <si>
    <t>Magnesium Bisglycinate Chelate Buffered SF - Product Code 4049</t>
  </si>
  <si>
    <t>Technical Sheet Hydrolyzed Collagen Rev32 (1).pdf</t>
  </si>
  <si>
    <t>Pure Assay - Hydrolized Bovine Collagen</t>
  </si>
  <si>
    <t>Magnesium Bisglycinate Chelate Taste Free - Product Code 4050</t>
  </si>
  <si>
    <t>GelcoPEP PLUS</t>
  </si>
  <si>
    <t>AIDP</t>
  </si>
  <si>
    <t>AIDP - Hydrolyzed Bovine Collagen</t>
  </si>
  <si>
    <t>Magnesium Carbonate Heavy</t>
  </si>
  <si>
    <t>Pure Assay - Hydrolyzed Bovine Collagen</t>
  </si>
  <si>
    <t>Magnesium Carbonate Light</t>
  </si>
  <si>
    <t>Geltech</t>
  </si>
  <si>
    <t>16000kg</t>
  </si>
  <si>
    <t>Geltech - Hydrolyzed Collagen Peptides (bovine)</t>
  </si>
  <si>
    <t>Magnesium Carbonate Powder</t>
  </si>
  <si>
    <t>20 kg</t>
  </si>
  <si>
    <t>Prinova - Hydrolyzed Fish Collagen - 32723</t>
  </si>
  <si>
    <t>Magnesium Chloride Hexahydrate</t>
  </si>
  <si>
    <t>Pure Assay - Hydrolyzed Fish Collagen (20 kg bag)</t>
  </si>
  <si>
    <t>Magnesium Citrate 30%</t>
  </si>
  <si>
    <t>50KG</t>
  </si>
  <si>
    <t>SD Nutrition - Î²-NAD +(Î²-Nicotinamide Adenine Dinucleotide)</t>
  </si>
  <si>
    <t>Magnesium Citrate Nonahydrate</t>
  </si>
  <si>
    <t>Fifth NutriSupply - IBCAA's 2:1:1</t>
  </si>
  <si>
    <t>Magnesium Gluconate</t>
  </si>
  <si>
    <t>Pure Assay - Indole-3-Carbinol</t>
  </si>
  <si>
    <t>Magnesium Gluconate 5%</t>
  </si>
  <si>
    <t>Creative Compounds</t>
  </si>
  <si>
    <t>Creative Compounds - Infinergy</t>
  </si>
  <si>
    <t>Magnesium Gluconate USP 98% (25kg pack) Code=26236-58783</t>
  </si>
  <si>
    <t>NuLiv Science - InnoSlim</t>
  </si>
  <si>
    <t>Magnesium Glycinate</t>
  </si>
  <si>
    <t>Fifth NutriSupply - Inositol</t>
  </si>
  <si>
    <t>Magnesium Glycinate 11%</t>
  </si>
  <si>
    <t>HD Nutrition - Inositol</t>
  </si>
  <si>
    <t>Magnesium Glycinate 22%</t>
  </si>
  <si>
    <t>M Nutra - Inositol</t>
  </si>
  <si>
    <t>Magnesium Glycinate 25%</t>
  </si>
  <si>
    <t>Phytochem - Inositol</t>
  </si>
  <si>
    <t>Magnesium Glycine</t>
  </si>
  <si>
    <t>Pure Assay - Inositol</t>
  </si>
  <si>
    <t>Magnesium Hydroxide Pwd USP 43 code=20474-50558 (20 KG Bag)</t>
  </si>
  <si>
    <t>Jiaherb - Inositol (25 kg/box)</t>
  </si>
  <si>
    <t>Magnesium Lactate Dihydrate</t>
  </si>
  <si>
    <t>Comext Nutrition Inc. - Inulin (from Artichoke) - powder</t>
  </si>
  <si>
    <t>Magnesium Lysinate Glycinate Chelate - Product Code 4051</t>
  </si>
  <si>
    <t>M Nutra - Inulin 90%</t>
  </si>
  <si>
    <t>Magnesium Malate</t>
  </si>
  <si>
    <t>44 lbs (under 100 lbs)</t>
  </si>
  <si>
    <t>Inulin</t>
  </si>
  <si>
    <t>Ingredion - Inulin Agave (Ticorganic) 38910901</t>
  </si>
  <si>
    <t>44 lbs (100-499 lbs)</t>
  </si>
  <si>
    <t>Magnesium Malate 23%</t>
  </si>
  <si>
    <t>44 lbs (500 lbs+)</t>
  </si>
  <si>
    <t>Magnesium Malate Trihydrate</t>
  </si>
  <si>
    <t>Compound Solutions - iXOS</t>
  </si>
  <si>
    <t>Magnesium Stearate</t>
  </si>
  <si>
    <t>NP Nutra - Kale</t>
  </si>
  <si>
    <t>Magnesium Stearate (21411-51962) (20kg pack)</t>
  </si>
  <si>
    <t>Comext - King Trumpet Mushroom</t>
  </si>
  <si>
    <t>Magnesium Taurinate</t>
  </si>
  <si>
    <t>Ixoreal Biomed - KSM-66</t>
  </si>
  <si>
    <t>Magnesium Taurinate 20%</t>
  </si>
  <si>
    <t>Magnesium Taurinate 20% (25kg box Code = 26153-58679)</t>
  </si>
  <si>
    <t>MagTeinTM Magnesium Threonate (25kg pack) (Natural Stacks)</t>
  </si>
  <si>
    <t>MagTeinTM Magnesium Threonate (25kg pack) (The Feed)</t>
  </si>
  <si>
    <t>Aspartic Acid, L</t>
  </si>
  <si>
    <t>LBB Specialties - L - Aspartic Acid - 15303 (25 kg drum)</t>
  </si>
  <si>
    <t>Maitake extract</t>
  </si>
  <si>
    <t>Probioway - L Gasseri HH-LG07</t>
  </si>
  <si>
    <t>Malic Acid</t>
  </si>
  <si>
    <t>Nutri Avenue - L- Theanine 20% HPLC (Green Tea Extract )</t>
  </si>
  <si>
    <t>Malic Acid Fine Granular (50 lb bag)</t>
  </si>
  <si>
    <t>200kg</t>
  </si>
  <si>
    <t>Maltodextrin</t>
  </si>
  <si>
    <t>Maltodextrin (GLUCIDEX IT 12P)</t>
  </si>
  <si>
    <t>ADM - L. Gasseri CP2305</t>
  </si>
  <si>
    <t>Maltodextrin DE 10-12</t>
  </si>
  <si>
    <t>HD Nutrition - L-5-Methyl THF Calcium</t>
  </si>
  <si>
    <t>Manganese Bisglycinate Chelate - Product Code 4052</t>
  </si>
  <si>
    <t>LactoSpore®</t>
  </si>
  <si>
    <t>LACTOSPORE® (100 BILLION/G)</t>
  </si>
  <si>
    <t>Sabinsa - LactoSpore® 100B (1201) Bacillus coagulans (MTCC 5856)</t>
  </si>
  <si>
    <t>Manganese Bisglycinate Chelate 26582-59510 (25kg bag)</t>
  </si>
  <si>
    <t>Sabinsa - LactoSpore® 15B (1200)</t>
  </si>
  <si>
    <t>Manganese Gluconate Dihydrate code=26632-59560 (25 KG Drum)</t>
  </si>
  <si>
    <t>Sabinsa - LactoSpore® 6B (1205)</t>
  </si>
  <si>
    <t>Mango 5583C PDR</t>
  </si>
  <si>
    <t>M Nutra - Laminaria Digitata Extract</t>
  </si>
  <si>
    <t>Maple Sugar - Non-VT Conventional Late Season 40 lb box BMF6400SUGGCLS</t>
  </si>
  <si>
    <t>Total Ingredients - Larch Fiber</t>
  </si>
  <si>
    <t>Maple Syrup - Non-VT Conventional Grade A Dark Robust 5-gal pail (55 lbs) BMF6400NCKPPL</t>
  </si>
  <si>
    <t>MTC Industries - L-Arginine</t>
  </si>
  <si>
    <t>Maple Syrup - Non-VT Conventional Grade A Very Dark Strong 5-gal pail (55 lbs) BMF6400NCVPPL</t>
  </si>
  <si>
    <t>Pure Assay - L-Arginine Alpha Ketoglutarate 2:1</t>
  </si>
  <si>
    <t>Maple Syrup - Non-VT Conventional Processing Grade 5-gal pail (55 lbs) BMF6400NCPPPL</t>
  </si>
  <si>
    <t>Pure Assay - L-Arginine Base</t>
  </si>
  <si>
    <t>Marigold Extract Zeaxanthin 10%</t>
  </si>
  <si>
    <t>COA-L-Arginine HCL-C611-202401101.pdf</t>
  </si>
  <si>
    <t>Pure Assay - L-Arginine HCL</t>
  </si>
  <si>
    <t>Matcha Powder (20kg carton)</t>
  </si>
  <si>
    <t>MCT 50% (palm sourced) - 23169</t>
  </si>
  <si>
    <t>Pure Assay - L-Arginine L-Pyroglutamate</t>
  </si>
  <si>
    <t>MCT Oil Powder | from Coconut Oil (20kg pack)</t>
  </si>
  <si>
    <t>Pure Assay - L-Asparagine Monohydrate</t>
  </si>
  <si>
    <t>Melatonin</t>
  </si>
  <si>
    <t>Pacific Bridge - L-Aspartic Acid</t>
  </si>
  <si>
    <t>Methionine</t>
  </si>
  <si>
    <t>Pure Assay - L-Aspartic Acid</t>
  </si>
  <si>
    <t>Methylcobalamin (B12)</t>
  </si>
  <si>
    <t>OSF Flavors - Lavender Nat WONF 5856C liquid</t>
  </si>
  <si>
    <t>Methylcobalamin (Vitamin B12), 1% Powder</t>
  </si>
  <si>
    <t>Pure Assay - L-Carnitine Base</t>
  </si>
  <si>
    <t>Methylcobalamin 1%</t>
  </si>
  <si>
    <t>Comext Nutrition Inc. - L-Carnitine HCL - powder</t>
  </si>
  <si>
    <t>Methylcobalamin 1% DCP B12 (12193)</t>
  </si>
  <si>
    <t>HD Nutrition - L-Carnitine L-Tartrate</t>
  </si>
  <si>
    <t>Methylcobalamin Pure</t>
  </si>
  <si>
    <t>Fifth NutriSupply - L-Carnitine Tartrate</t>
  </si>
  <si>
    <t>Methylsulfonylmethane (40-80 mes h)</t>
  </si>
  <si>
    <t>Pure Assay - L-Carnitine Tartrate</t>
  </si>
  <si>
    <t>Methylsulfonylmethane (60-80 mesh)</t>
  </si>
  <si>
    <t>Pure Assay - L-Carnosine</t>
  </si>
  <si>
    <t>MG Brown Fine Rice Flour (50 lb bags)</t>
  </si>
  <si>
    <t>Fifth NutriSupply - L-Citrulline</t>
  </si>
  <si>
    <t>MICROCRYSTALLINE CELLULOSE 101 NF Item ID 10743 (20kg pack)</t>
  </si>
  <si>
    <t>HD Nutrition - L-Citrulline</t>
  </si>
  <si>
    <t>MICROCRYSTALLINE CELLULOSE 102 NF Item ID 10744 (20kg pack)</t>
  </si>
  <si>
    <t>MTC Industries - L-Citrulline</t>
  </si>
  <si>
    <t>MICROCRYSTALLINE CELLULOSE 112 NF tem ID 10740 (20kg pack)</t>
  </si>
  <si>
    <t>Milk Thistle (25:1)</t>
  </si>
  <si>
    <t>NNB Nutrition - L-Citrulline</t>
  </si>
  <si>
    <t>Milk Thistle (25:1) , 80% Silymarin</t>
  </si>
  <si>
    <t>Nufacturing</t>
  </si>
  <si>
    <t>Nufacturing - L-Citrulline</t>
  </si>
  <si>
    <t>Milk Thistle 80% (Silymarin)</t>
  </si>
  <si>
    <t>Pure Assay - L-Citrulline</t>
  </si>
  <si>
    <t>Milk Thistle Extract - 80% Silymarin</t>
  </si>
  <si>
    <t>Pure Assay - L-Citrulline DL-Malate 2:1</t>
  </si>
  <si>
    <t>Milk Thistle Extract 80%, 30%</t>
  </si>
  <si>
    <t>Fifth NutriSupply - L-Citrulline Malate 2:1</t>
  </si>
  <si>
    <t>Millet Seed Extract 50% L-Methionine by titration</t>
  </si>
  <si>
    <t>HD Nutrition - L-Cysteine HCL monohydrate</t>
  </si>
  <si>
    <t>Mint Nat WONF 8486 liquid</t>
  </si>
  <si>
    <t>Pure Assay - L-Cysteine Mono HCL</t>
  </si>
  <si>
    <t>Mixed Tocopherols 95</t>
  </si>
  <si>
    <t>51 lbs (1-4 pails)</t>
  </si>
  <si>
    <t>Lemon Juice Concentrate 400 GPL</t>
  </si>
  <si>
    <t>Florida Bulk Sales - Lemon Juice Concentrate 400 GPL (LEJC40F-0001-PA51) 51 lbs pales)</t>
  </si>
  <si>
    <t>Molybdenum Glycinate Chelate - Product Code 3513</t>
  </si>
  <si>
    <t>4-10 pails</t>
  </si>
  <si>
    <t>Monk Fruit 50%</t>
  </si>
  <si>
    <t>Monk Fruit Extract GuoSweet MV50</t>
  </si>
  <si>
    <t>Monk Fruit ExtractGuoSWEET® 30%</t>
  </si>
  <si>
    <t>1-4 drums</t>
  </si>
  <si>
    <t>Monocalcium Phosphate Monohydrate Powder - 10750 (50 lb bag ~ 22.6 kg)</t>
  </si>
  <si>
    <t>5-12 drums</t>
  </si>
  <si>
    <t>Monosodium Citrate D</t>
  </si>
  <si>
    <t>pallet</t>
  </si>
  <si>
    <t>Monosodium Phosphate Monohydrate Powder - 24093 (25 kg bag)</t>
  </si>
  <si>
    <t>OSF Flavors - Lemon Lime 5419 PDR</t>
  </si>
  <si>
    <t>Morton® Culinox® 999® Food Grade Salt</t>
  </si>
  <si>
    <t>flavors</t>
  </si>
  <si>
    <t>OSF Flavors - Lemon Nat WONF 3682B PDR</t>
  </si>
  <si>
    <t>Mucuna Pruriens Extract 98% L-Dopa HPLC</t>
  </si>
  <si>
    <t>American Fruits and Flavors</t>
  </si>
  <si>
    <t>American Fruits and Flavors - Lemonade Flavor WONF- L-304 (25kg pack)</t>
  </si>
  <si>
    <t>Mucuna Pruriens P.E. 99%</t>
  </si>
  <si>
    <t>HD Nutrition - L-Ergothioneine</t>
  </si>
  <si>
    <t>Mung Bean Protein 85% - 32845</t>
  </si>
  <si>
    <t>Gencor - Levagen</t>
  </si>
  <si>
    <t>Mushroom Immune Complex</t>
  </si>
  <si>
    <t>Fifth NutriSupply - L-Glutamine</t>
  </si>
  <si>
    <t>MycoD2® mushroom extract</t>
  </si>
  <si>
    <t>HD Nutrition - L-Glutamine</t>
  </si>
  <si>
    <t>Myo-Inositol</t>
  </si>
  <si>
    <t>Pacific Bridge - L-Glutamine</t>
  </si>
  <si>
    <t>Myristuca fragrans Houtt/Semen Myristicae seed powder</t>
  </si>
  <si>
    <t>Phytochem - L-Glutamine</t>
  </si>
  <si>
    <t>N,N, Dimethyl Glycine Hcl (DMG)</t>
  </si>
  <si>
    <t>Pure Assay - L-Glutamine</t>
  </si>
  <si>
    <t>N-Acetyl Cysteine</t>
  </si>
  <si>
    <t>Pure Assay - L-Glutamine Alpha Ketoglutarate 2:1</t>
  </si>
  <si>
    <t>N-Acetyl-L-Cysteine (NAC)</t>
  </si>
  <si>
    <t>Phytochem - L-Glutathione</t>
  </si>
  <si>
    <t>N-Acetyl-L-Tyrosine</t>
  </si>
  <si>
    <t>COA-L-Glutathione Reduced Powder-5002-2304024.pdf</t>
  </si>
  <si>
    <t>M Nutra - L-Glutathione (reduced)</t>
  </si>
  <si>
    <t>NAD+</t>
  </si>
  <si>
    <t>Comext Nutrition Inc. - L-Glutathione Reduced</t>
  </si>
  <si>
    <t>NADH (nicotinamide adenine dinucleotide hydrogen)</t>
  </si>
  <si>
    <t>Pure Assay - L-Glutathione Reduced Powder</t>
  </si>
  <si>
    <t>Naringin 98%</t>
  </si>
  <si>
    <t>NAT BLACKBERRY FL WONF PWD #27841 (code=JC64)</t>
  </si>
  <si>
    <t>NAT FL FOR MANGO PWD #23684 (code=SU52)</t>
  </si>
  <si>
    <t>Fifth NutriSupply - L-Glycine</t>
  </si>
  <si>
    <t>NAT GRAPEFRUIT FL WONF SD #39850 - RP37</t>
  </si>
  <si>
    <t>Phytochem - L-Glycine</t>
  </si>
  <si>
    <t>NAT GREEN APPLE TYPE FL SD #41665 - ZN94</t>
  </si>
  <si>
    <t>Nat Margarita Fl 831.2064U (50 lbs box)</t>
  </si>
  <si>
    <t>FifthNutriSupply - L-Histidine</t>
  </si>
  <si>
    <t>Nat Masking FL PWD - 764008</t>
  </si>
  <si>
    <t>Pure Assay - L-Histidine Base (repack 1 kg)</t>
  </si>
  <si>
    <t>NAT ORANGE FL WONF SD #42008 - PV20</t>
  </si>
  <si>
    <t>PC: HEMUWP11 Hericium erinaceus</t>
  </si>
  <si>
    <t>Nammex - Lion’s Mane extract</t>
  </si>
  <si>
    <t>NAT ORANGE GUAVA PINE FL PWD WONF 42340 - ZQ38</t>
  </si>
  <si>
    <t>Nat Vanilla Fl WONFL FAUS796</t>
  </si>
  <si>
    <t>Nat Vanilla Flavor WONF (FATO975)</t>
  </si>
  <si>
    <t>NAT WATERMELON TYPE FL PWD #35791 - JU74</t>
  </si>
  <si>
    <t>Lion’s Mane mushroom extract (25kg bags)</t>
  </si>
  <si>
    <t>Nammex - Lion’s Mane mushroom extract (25kg bags) ($1000 min.)</t>
  </si>
  <si>
    <t>Nattokinase (20,000fu/g)</t>
  </si>
  <si>
    <t>Comext - Lion's Mane Extract 10:01</t>
  </si>
  <si>
    <t>Natural Caffeine | 98% from Green Coffee beans</t>
  </si>
  <si>
    <t>HD Nutrition - Liposomal NAD+</t>
  </si>
  <si>
    <t>Natural Caffeine | 98% from Green Tea</t>
  </si>
  <si>
    <t>HD Nutrition - Liposomal NMN</t>
  </si>
  <si>
    <t>Natural Flavor Blend (Mixed Berry Type) Powder #927910G (22.68kg box)</t>
  </si>
  <si>
    <t>One Innovation Labs</t>
  </si>
  <si>
    <t>One Innovation Labs - Liposomal Pureway-C® fine powder</t>
  </si>
  <si>
    <t>Natural Flavor, Cara Cara Type - NATURAL CITRUS FLAVOR POWDER 26006254 - 50 lb pack</t>
  </si>
  <si>
    <t>One Innovation Labs - Liposomal Pureway-C® water dispersible Powder</t>
  </si>
  <si>
    <t>Natural Preservative Chiber Mushroom Extract</t>
  </si>
  <si>
    <t>One Innovation Labs - Liposomax ® + Glutathione fine powder</t>
  </si>
  <si>
    <t>NATURAL RASPBERRY FLAVOR POWDER 751716</t>
  </si>
  <si>
    <t>One Innovation Labs - Liposomax ® + Glutathione water dispersible Powder</t>
  </si>
  <si>
    <t>NC Chai Spice Flavor, NAT WONF ORGANIC</t>
  </si>
  <si>
    <t>One Innovation Labs - Liposomax ® + Magnesium Glycinate fine powder</t>
  </si>
  <si>
    <t>N-C Lavender Flavor, NAT (50 lb pack)</t>
  </si>
  <si>
    <t>One Innovation Labs - Liposomax ® + Magnesium Glycinate water dispersible Powder</t>
  </si>
  <si>
    <t>Nettle Root P.E. 1%</t>
  </si>
  <si>
    <t>One Innovation Labs - Liposomax® + CoQ10 Fine Powder</t>
  </si>
  <si>
    <t>NeuroFactor</t>
  </si>
  <si>
    <t>One Innovation Labs - Liposomax® + Creatine Fine Powder</t>
  </si>
  <si>
    <t>Niacin</t>
  </si>
  <si>
    <t>One Innovation Labs - Liposomax® + Creatine water dispersible Powder</t>
  </si>
  <si>
    <t>Niacinamide</t>
  </si>
  <si>
    <t>FifthNutriSupply - L-Isoleucine</t>
  </si>
  <si>
    <t>Niacinamide (Vitamin B3)</t>
  </si>
  <si>
    <t>MTC Industries - L-Isoleucine</t>
  </si>
  <si>
    <t>Nicotinamide Mononucleotide</t>
  </si>
  <si>
    <t>Pure Assay - L-Isoleucine (25 kg)</t>
  </si>
  <si>
    <t>Nicotinamide Mononucleotide (NMN)</t>
  </si>
  <si>
    <t>FifthNutriSupply - L-Leucine</t>
  </si>
  <si>
    <t>Nicotinamide Riboside Hydrogen Malate</t>
  </si>
  <si>
    <t>MTC Industries - L-Leucine</t>
  </si>
  <si>
    <t>Nisin</t>
  </si>
  <si>
    <t>Pure Assay - L-Leucine</t>
  </si>
  <si>
    <t>Nisin (4kg case)</t>
  </si>
  <si>
    <t>Pure Assay - L-Leucine (25 kg)</t>
  </si>
  <si>
    <t>Nisin (52 lbs carton)</t>
  </si>
  <si>
    <t>Jiaherb - L-Leucine Instant</t>
  </si>
  <si>
    <t>NMN (Î²-Nicotinamide Mononucleotide)</t>
  </si>
  <si>
    <t>HD Nutrition - L-Leucine Instant Vegan Fermented</t>
  </si>
  <si>
    <t>NMNH (Dihydro Nicotinamide Mononucleotide)</t>
  </si>
  <si>
    <t>MTC Industries - L-Lysine</t>
  </si>
  <si>
    <t>NO3-T</t>
  </si>
  <si>
    <t>FifthNutriSupply - L-Lysine HCl</t>
  </si>
  <si>
    <t>Non-GMO Honey Powder 1170</t>
  </si>
  <si>
    <t>Jiaherb - L-Lysine HCL Granular</t>
  </si>
  <si>
    <t>NR (Nicotinamide Riboside Chloride)</t>
  </si>
  <si>
    <t>Pure Assay - L-Lysine Mono HCL</t>
  </si>
  <si>
    <t>NR Nicotinamide Riboside Chloride</t>
  </si>
  <si>
    <t>Pure Assay - L-Lysine Mono HCL (25 kg)</t>
  </si>
  <si>
    <t>nu-FLOW</t>
  </si>
  <si>
    <t>Pure Assay - L-Malic Acid</t>
  </si>
  <si>
    <t>nu-FLOW (Organic)</t>
  </si>
  <si>
    <t>FifthNutriSupply - L-Methionine</t>
  </si>
  <si>
    <t>Nutmeg Extract</t>
  </si>
  <si>
    <t>MTC Industries - L-Methionine</t>
  </si>
  <si>
    <t>Nutmeg Extract Powder 4:1</t>
  </si>
  <si>
    <t>Pure Assay - L-Methionine</t>
  </si>
  <si>
    <t>Nutmeg Fruit Straight Powder (25kg packs)</t>
  </si>
  <si>
    <t>Pure Assay - L-Methionine (25 kg)</t>
  </si>
  <si>
    <t>Nutmeg Fruit Extract 4:1 ( Extract Solvent: Water )</t>
  </si>
  <si>
    <t>100 g</t>
  </si>
  <si>
    <t>Phytochem - L-Methyl Folate (as 1,333 mcg DFE / 800 mcg folic acid) (100 g)</t>
  </si>
  <si>
    <t>NutraSweetM Reb M 95 Natural</t>
  </si>
  <si>
    <t>Pure Assay - L-Methylfolate Calcium</t>
  </si>
  <si>
    <t>Nutriose FB06</t>
  </si>
  <si>
    <t>FifthNutriSupply - L-Phenylalanine</t>
  </si>
  <si>
    <t>Oat Grass</t>
  </si>
  <si>
    <t>Pure Assay - L-Phenylalanine</t>
  </si>
  <si>
    <t>Oat Milk Powder Low Flavor Oatvico 16131</t>
  </si>
  <si>
    <t>Pure Assay - L-Phenylalanine (25 kg)</t>
  </si>
  <si>
    <t>Oat Milk Powder LS Oatvico 16141</t>
  </si>
  <si>
    <t>Pure Assay - L-Selenomethionine</t>
  </si>
  <si>
    <t>Oat Milk Powder Oatvico 16121</t>
  </si>
  <si>
    <t>L-Selenomethionine Trit 0.5% 24989-57548</t>
  </si>
  <si>
    <t>Stauber - L-Selenomethionine Trit 0.5% 24989-57548 (25kg box)</t>
  </si>
  <si>
    <t>Olive Leaf Extract 20%</t>
  </si>
  <si>
    <t>Fifth NutriSupply - L-Taurine</t>
  </si>
  <si>
    <t>Olive Leaf Extract 40%</t>
  </si>
  <si>
    <t>Fifth NutriSupply - L-Theanine</t>
  </si>
  <si>
    <t>OptiMSM (code=11600)</t>
  </si>
  <si>
    <t>Jiaherb - L-Theanine</t>
  </si>
  <si>
    <t>OptiMSM Microprill 0.5% SiO2 [26593-59497]</t>
  </si>
  <si>
    <t>Pure Assay - L-Theanine</t>
  </si>
  <si>
    <t>Orange 4295B PDR 16.60</t>
  </si>
  <si>
    <t>Jiaherb - L-Theanine (25kg packs)</t>
  </si>
  <si>
    <t>Orange 6368C PDR</t>
  </si>
  <si>
    <t>HD Nutrition - L-Theanine 99% ferment</t>
  </si>
  <si>
    <t>Orange Flavor ZE99485</t>
  </si>
  <si>
    <t>FifthNutriSupply - L-Threonine</t>
  </si>
  <si>
    <t>Orange Juice Powder</t>
  </si>
  <si>
    <t>Pure Assay - L-Threonine (25 kg)</t>
  </si>
  <si>
    <t>Org. Berry 4732B-O PDR</t>
  </si>
  <si>
    <t>FifthNutriSupply - L-Tryptophan</t>
  </si>
  <si>
    <t>Org. Blackberry 5767B-O PDR</t>
  </si>
  <si>
    <t>COA-L-Tryptophan-202407086.pdf</t>
  </si>
  <si>
    <t>Pure Assay - L-Tryptophan</t>
  </si>
  <si>
    <t>Org. Limeade Flavor 8578B-O PDR</t>
  </si>
  <si>
    <t>Pure Assay - L-Tryptophan (25 kg)</t>
  </si>
  <si>
    <t>Org. Mixed Berry 7947B-O PDR</t>
  </si>
  <si>
    <t>Jiaherb - L-Tryptophan 98%</t>
  </si>
  <si>
    <t>Org. Orange Flavor 6911A-O PDR</t>
  </si>
  <si>
    <t>Fifth NutriSupply - L-Tyrosine</t>
  </si>
  <si>
    <t>Organic Beef Broth - 30707</t>
  </si>
  <si>
    <t>MTC Industries - L-Tyrosine</t>
  </si>
  <si>
    <t>Organic Beet Root Powder</t>
  </si>
  <si>
    <t>Pure Assay - L-Tyrosine</t>
  </si>
  <si>
    <t>Organic Chlorella Tablets (250–500 mg, 50% protein)</t>
  </si>
  <si>
    <t>FifthNutriSupply - L-Valine</t>
  </si>
  <si>
    <t>Organic Chocolate Flavor 9595B-O PDR</t>
  </si>
  <si>
    <t>Pure Assay - L-Valine</t>
  </si>
  <si>
    <t>ORGANIC CITRUS BLEND FLAVOR 869946</t>
  </si>
  <si>
    <t>OSF Flavors - Lychee 5863B PDR</t>
  </si>
  <si>
    <t>Organic Cocoa Powder Natural 10/12</t>
  </si>
  <si>
    <t>Phytochem - Lycopene (10% Beadlet) (25 kg)</t>
  </si>
  <si>
    <t>Organic Coconut Milk 26% Fat Covico 13140 (50lb bag)</t>
  </si>
  <si>
    <t>Jiaherb - Lycopene 10% HPLC (synthetic) beadlet</t>
  </si>
  <si>
    <t>Organic Coconut Milk Powder</t>
  </si>
  <si>
    <t>Pure Assay - Lycopene 10% Powder</t>
  </si>
  <si>
    <t>Organic Coconut Milk Powder | Vegan Vietnam (60% Fat) (15kg pack)</t>
  </si>
  <si>
    <t>Food Ingredients - M100 Maltodextrin</t>
  </si>
  <si>
    <t>Organic Coconut Milk Powder 55% Fat Covico 13156</t>
  </si>
  <si>
    <t>Food Ingredients - M100 Maltodextrin - A2810 (50 lbs)</t>
  </si>
  <si>
    <t>Organic Coconut Milk Powder 65% Fat Covico 13162</t>
  </si>
  <si>
    <t>Food Ingredients - M100 Maltodextrin (code=A2810) (50 lb pack)</t>
  </si>
  <si>
    <t>Organic Coconut Sugar</t>
  </si>
  <si>
    <t>Jiaherb - Maca Powder</t>
  </si>
  <si>
    <t>Organic Evaporated Coconut Nectar</t>
  </si>
  <si>
    <t>Nielsen Massey</t>
  </si>
  <si>
    <t>2.27kg</t>
  </si>
  <si>
    <t>Nielsen Massey - Madagascar Bourbon Pure Vanilla Powder (5lb pack)</t>
  </si>
  <si>
    <t>Organic Evaporated Coconut Nectar (2x 12.5kg bag in box) (Coconut Sugar)</t>
  </si>
  <si>
    <t>HD Nutrition - Magnesium Bisglycinate 11% 20%</t>
  </si>
  <si>
    <t>Organic Evaporated Coconut Nectar (code = 15002)</t>
  </si>
  <si>
    <t>Balchem - Magnesium Bisglycinate Chelate 03476</t>
  </si>
  <si>
    <t>Organic Evaporated Coconut Water 1 x 20 kg plastic bag in box</t>
  </si>
  <si>
    <t>25kg Drum</t>
  </si>
  <si>
    <t>20458 Specification Sheet D10-23 R10-23 (ID 2788794).pdf</t>
  </si>
  <si>
    <t>Balchem - Magnesium Bisglycinate Chelate Buffered SF - Product Code 4049</t>
  </si>
  <si>
    <t>Organic Ginger Root Powder</t>
  </si>
  <si>
    <t>20kg Box</t>
  </si>
  <si>
    <t>20459 Specification Sheet D10-23 R10-23 (ID 2788794).pdf</t>
  </si>
  <si>
    <t>Balchem - Magnesium Bisglycinate Chelate Taste Free - Product Code 4050</t>
  </si>
  <si>
    <t>Organic Glycerin (551 lb drums)</t>
  </si>
  <si>
    <t>Stauber - Magnesium Carbonate Heavy</t>
  </si>
  <si>
    <t>Organic Goji (Wolfberry) Extract | 45% Polysaccharides</t>
  </si>
  <si>
    <t>750kg</t>
  </si>
  <si>
    <t>Organic Inulin 90% Jerusalem artichoke</t>
  </si>
  <si>
    <t>20240802125743_spec.pdf</t>
  </si>
  <si>
    <t>Green Jeeva - Magnesium Carbonate Light</t>
  </si>
  <si>
    <t>Organic Irish Moss Powder</t>
  </si>
  <si>
    <t>Green Jeeva - Magnesium Carbonate Powder</t>
  </si>
  <si>
    <t>Organic Maca Powder</t>
  </si>
  <si>
    <t>M Nutra - Magnesium Chloride Hexahydrate</t>
  </si>
  <si>
    <t>Organic Madagascan Sweet Ground Cinnamon Powder</t>
  </si>
  <si>
    <t>NovaNutra LLC</t>
  </si>
  <si>
    <t>NovaNutra LLC - Magnesium Citrate 30%</t>
  </si>
  <si>
    <t>Organic Madagascar Bourbon Ground Vanilla Beans (5lb pack)</t>
  </si>
  <si>
    <t>150-500kg</t>
  </si>
  <si>
    <t>Nutri Avenue - Magnesium Citrate Nonahydrate</t>
  </si>
  <si>
    <t>Organic Monk Fruit Extract MV25% OG-MO G02 (20kg pack) (cost=$160+$32 tariff)</t>
  </si>
  <si>
    <t>500-1000kg</t>
  </si>
  <si>
    <t>Organic Protein Masker 9701B-O PDR</t>
  </si>
  <si>
    <t>Jiaherb - Magnesium Gluconate</t>
  </si>
  <si>
    <t>Organic Rhodiola Rosea Extract | 4:1 (20kg pack)</t>
  </si>
  <si>
    <t>Organic Rice Protein 80% (from Brown Rice)</t>
  </si>
  <si>
    <t>M Nutra - Magnesium Gluconate 5%</t>
  </si>
  <si>
    <t>Organic Rice Protein 80% 600 mesh - 32584</t>
  </si>
  <si>
    <t>Magnesium Gluconate USP</t>
  </si>
  <si>
    <t>Stauber - Magnesium Gluconate USP 98% (25kg pack) Code=26236-58783</t>
  </si>
  <si>
    <t>Organic Spirulina Tablets (250–500 mg, 60% protein)</t>
  </si>
  <si>
    <t>Organic Stevia 97% Reb A</t>
  </si>
  <si>
    <t>Organic Tapioca Syrup</t>
  </si>
  <si>
    <t>HD Nutrition - Magnesium Glycinate</t>
  </si>
  <si>
    <t>Organic Vanilla Creme Flavor 9699B-O PDR</t>
  </si>
  <si>
    <t>Pure Assay - Magnesium Glycinate 11%</t>
  </si>
  <si>
    <t>Organic Yerba Mate Extract (Green) GD100 (25kg pack)</t>
  </si>
  <si>
    <t>Penglai</t>
  </si>
  <si>
    <t>Fuller Ingredients - Magnesium Glycinate 22%</t>
  </si>
  <si>
    <t>Organic Yerba Mate Powder</t>
  </si>
  <si>
    <t>Stauber - Magnesium Glycinate 22%</t>
  </si>
  <si>
    <t>Oyster mushroom extract</t>
  </si>
  <si>
    <t>P2.0 Pea Protein</t>
  </si>
  <si>
    <t>P5P (Pyridoxal-5-Phosphate)</t>
  </si>
  <si>
    <t>P870 Pea Protein</t>
  </si>
  <si>
    <t>Parchem</t>
  </si>
  <si>
    <t>Parchem - Magnesium Glycinate 25%</t>
  </si>
  <si>
    <t>PABA</t>
  </si>
  <si>
    <t>Pure Assay - Magnesium Glycinate 25%</t>
  </si>
  <si>
    <t>Palmitoylethanolamide</t>
  </si>
  <si>
    <t>Comext Nutrition Inc. - Magnesium Glycine</t>
  </si>
  <si>
    <t>Panax Ginseng P.E. 10%</t>
  </si>
  <si>
    <t>Magnesium Hydroxide</t>
  </si>
  <si>
    <t>Stauber - Magnesium Hydroxide Pwd USP 43 code=20474-50558 (20 KG Bag)</t>
  </si>
  <si>
    <t>Panax Ginseng P.E. 80%</t>
  </si>
  <si>
    <t>M Nutra - Magnesium Lactate Dihydrate</t>
  </si>
  <si>
    <t>Paraxanthine (Enfinity™)</t>
  </si>
  <si>
    <t>Balchem - Magnesium Lysinate Glycinate Chelate - Product Code 4051</t>
  </si>
  <si>
    <t>Parsley</t>
  </si>
  <si>
    <t>Balchem - Magnesium Malate</t>
  </si>
  <si>
    <t>Passion Flower P.E. 4%</t>
  </si>
  <si>
    <t>Pacific Bridge - Magnesium Malate</t>
  </si>
  <si>
    <t>Passion Fruit 1641E PDR 19.10</t>
  </si>
  <si>
    <t>Nutrisol</t>
  </si>
  <si>
    <t>Stauber - Magnesium Malate 23%</t>
  </si>
  <si>
    <t>Pea Protein</t>
  </si>
  <si>
    <t>PEA/Palmitoylethanolamide</t>
  </si>
  <si>
    <t>Peach 6412A PDR</t>
  </si>
  <si>
    <t>Peach Mango 1640E PDR 11.50</t>
  </si>
  <si>
    <t>Nutri Avenue - Magnesium Malate Trihydrate</t>
  </si>
  <si>
    <t>Peach Mango 6371C PDR</t>
  </si>
  <si>
    <t>PeakO2</t>
  </si>
  <si>
    <t>M Nutra - Magnesium Stearate</t>
  </si>
  <si>
    <t>Pear 9519A PDR</t>
  </si>
  <si>
    <t>Pure Assay - Magnesium Stearate</t>
  </si>
  <si>
    <t>Peppermint Duraome Powder</t>
  </si>
  <si>
    <t>Stauber - Magnesium Stearate (21411-51962) (20kg pack)</t>
  </si>
  <si>
    <t>Peppermint Extract 10:1</t>
  </si>
  <si>
    <t>AIDP - Magnesium Taurinate</t>
  </si>
  <si>
    <t>Peppermint Extract Powder 10:1</t>
  </si>
  <si>
    <t>Stauber - Magnesium Taurinate</t>
  </si>
  <si>
    <t>PEPTIPLUS XB (15kg bags)</t>
  </si>
  <si>
    <t>M Nutra - Magnesium Taurinate 20%</t>
  </si>
  <si>
    <t>PeptiStrong (20kg bag)</t>
  </si>
  <si>
    <t>Stauber - Magnesium Taurinate 20% (25kg box Code = 26153-58679)</t>
  </si>
  <si>
    <t>Peptizyme-SP</t>
  </si>
  <si>
    <t>Phellinus extract</t>
  </si>
  <si>
    <t>Phenylalanine</t>
  </si>
  <si>
    <t>MagTein</t>
  </si>
  <si>
    <t>AIDP - MagTeinTM Magnesium Threonate (25kg pack) (Natural Stacks)</t>
  </si>
  <si>
    <t>Phenylethylamine Hydrochloride</t>
  </si>
  <si>
    <t>AIDP - MagTeinTM Magnesium Threonate (25kg pack) (The Feed)</t>
  </si>
  <si>
    <t>Phosphatidylserine 20%, from sunflower</t>
  </si>
  <si>
    <t>PC: GFMUWP11 Grifola frondosa</t>
  </si>
  <si>
    <t>Nammex - Maitake extract</t>
  </si>
  <si>
    <t>Phosphatidylserine 50% powder from sunflower</t>
  </si>
  <si>
    <t>Phosphatidylserine 70%, from sunflower</t>
  </si>
  <si>
    <t>Pine Bark Extract (95%) (25 kg)</t>
  </si>
  <si>
    <t>Pine Bark Extract 95% Proanthocyanidins UV</t>
  </si>
  <si>
    <t>JM Swank (Brenntag) - Malic Acid</t>
  </si>
  <si>
    <t>Pineapple Nat WONF 8104B PDR</t>
  </si>
  <si>
    <t>M Nutra - Malic Acid</t>
  </si>
  <si>
    <t>Pomegranate 6365C PDR</t>
  </si>
  <si>
    <t>Pacific Bridge - Malic Acid</t>
  </si>
  <si>
    <t>Pomegranate 7466A PDR 18.10</t>
  </si>
  <si>
    <t>22.68 kg (50 lbs)</t>
  </si>
  <si>
    <t>Stauber - Malic Acid Fine Granular (50 lb bag)</t>
  </si>
  <si>
    <t>Pomegranate Ext Pwd</t>
  </si>
  <si>
    <t>200 lbs</t>
  </si>
  <si>
    <t>Pomegranate Juice Powder | Pink</t>
  </si>
  <si>
    <t>Pomegranate P.E. 40%</t>
  </si>
  <si>
    <t>American Ingredients Inc. - Maltodextrin</t>
  </si>
  <si>
    <t>Pomegranate P.E. 40% Polyphenols</t>
  </si>
  <si>
    <t>Pomegranate Powder</t>
  </si>
  <si>
    <t>GLUCIDEX IT 12P</t>
  </si>
  <si>
    <t>IMCDUS - Maltodextrin (GLUCIDEX IT 12P)</t>
  </si>
  <si>
    <t>Poria extract</t>
  </si>
  <si>
    <t>3084.44 lbs</t>
  </si>
  <si>
    <t>Food Guys - Maltodextrin DE 10-12</t>
  </si>
  <si>
    <t>Potassium Ascorbate</t>
  </si>
  <si>
    <t>Balchem - Manganese Bisglycinate Chelate - Product Code 4052</t>
  </si>
  <si>
    <t>Potassium Bicarbonate</t>
  </si>
  <si>
    <t>Manganese Bisglycinate Chelate 26582-59510</t>
  </si>
  <si>
    <t>Stauber - Manganese Bisglycinate Chelate 26582-59510 (25kg bag)</t>
  </si>
  <si>
    <t>Potassium Bicarbonate code=21345-51850 (50 LB Bag)</t>
  </si>
  <si>
    <t>Manganese Gluconate</t>
  </si>
  <si>
    <t>Stauber - Manganese Gluconate Dihydrate code=26632-59560 (25 KG Drum)</t>
  </si>
  <si>
    <t>Potassium Carbonate</t>
  </si>
  <si>
    <t>OSF Flavors - Mango 5583C PDR</t>
  </si>
  <si>
    <t>Potassium Carbonate 99% FCC</t>
  </si>
  <si>
    <t>Butternut Farms</t>
  </si>
  <si>
    <t>1–9 boxes</t>
  </si>
  <si>
    <t>Non-VT Conventional Late Season Maple Sugar 40 lb box BMF6400SUGGCLS</t>
  </si>
  <si>
    <t>Butternut Farms - Maple Sugar - Non-VT Conventional Late Season 40 lb box BMF6400SUGGCLS</t>
  </si>
  <si>
    <t>Potassium Carbonate Anhydrous USP - 10961 (100 lb drum ~ 45.4 kg)</t>
  </si>
  <si>
    <t>1–11 pails</t>
  </si>
  <si>
    <t>Non-VT Conventional Grade A Dark Robust 5-gal pail (55 lbs) BMF6400NCKPPL</t>
  </si>
  <si>
    <t>Butternut Farms - Maple Syrup - Non-VT Conventional Grade A Dark Robust 5-gal pail (55 lbs) BMF6400NCKPPL</t>
  </si>
  <si>
    <t>Potassium Carbonate Anhydrous USP - 10962 (250 lb drum ~ 113.4 kg)</t>
  </si>
  <si>
    <t>Non-VT Conventional Grade A Very Dark Strong 5-gal pail (55 lbs) BMF6400NCVPPL</t>
  </si>
  <si>
    <t>Butternut Farms - Maple Syrup - Non-VT Conventional Grade A Very Dark Strong 5-gal pail (55 lbs) BMF6400NCVPPL</t>
  </si>
  <si>
    <t>Potassium Chloride</t>
  </si>
  <si>
    <t>Non-VT Conventional Processing Grade 5-gal pail (55 lbs) BMF6400NCPPPL</t>
  </si>
  <si>
    <t>Butternut Farms - Maple Syrup - Non-VT Conventional Processing Grade 5-gal pail (55 lbs) BMF6400NCPPPL</t>
  </si>
  <si>
    <t>Potassium Chloride (anhydrous) 20518-59384</t>
  </si>
  <si>
    <t>HD Nutrition - Marigold Extract Zeaxanthin 10%</t>
  </si>
  <si>
    <t>Potassium Citrate Mono</t>
  </si>
  <si>
    <t>CEREMONIAL MATCHA</t>
  </si>
  <si>
    <t>Prinova - Matcha Powder (20kg carton)</t>
  </si>
  <si>
    <t>Potassium Gluconate (code=24716-58302) 20kg bag</t>
  </si>
  <si>
    <t>Prinova - MCT 50% (palm sourced) - 23169</t>
  </si>
  <si>
    <t>Potassium Phosphate Dibasic</t>
  </si>
  <si>
    <t>Jiaherb - MCT Oil Powder | from Coconut Oil (20kg pack)</t>
  </si>
  <si>
    <t>Potassium Phosphate Monobasic code=12375 (50 LB Bag)</t>
  </si>
  <si>
    <t>HD Nutrition - Melatonin</t>
  </si>
  <si>
    <t>Potassium Sorbate</t>
  </si>
  <si>
    <t>MTC Industries - Melatonin</t>
  </si>
  <si>
    <t>Potassium Sorbate (MC: 16160435 - POT SORBATE NANTONG BX200) (23kg box)</t>
  </si>
  <si>
    <t>Phytochem - Melatonin</t>
  </si>
  <si>
    <t>Powdered Sugar (50 lb bag)</t>
  </si>
  <si>
    <t>Pure Assay - Melatonin</t>
  </si>
  <si>
    <t>PQQ</t>
  </si>
  <si>
    <t>M Nutra - Methionine</t>
  </si>
  <si>
    <t>PRE-HYDRATED® Gum Arabic FT</t>
  </si>
  <si>
    <t>COA-Methylcobalamin Pure-M231211A.pdf</t>
  </si>
  <si>
    <t>MTC Industries - Methylcobalamin (B12)</t>
  </si>
  <si>
    <t>PRE-HYDRATED® Gum Arabic Spray Dry</t>
  </si>
  <si>
    <t>Fuller Ingredients - Methylcobalamin (Vitamin B12), 1% Powder</t>
  </si>
  <si>
    <t>Probiotics, Dry</t>
  </si>
  <si>
    <t>Methylcobalamin</t>
  </si>
  <si>
    <t>Pure Assay - Methylcobalamin 1%</t>
  </si>
  <si>
    <t>PromOat Beta Glucan 32%</t>
  </si>
  <si>
    <t>Pacific Bridge - Methylcobalamin 1% DCP B12 (12193)</t>
  </si>
  <si>
    <t>Promunel Propolis glyceric liquid 1%</t>
  </si>
  <si>
    <t>Pure Assay - Methylcobalamin Pure</t>
  </si>
  <si>
    <t>Promunel Propolis Powder 12%</t>
  </si>
  <si>
    <t>100g</t>
  </si>
  <si>
    <t>Promunel Propolis Powder 6%</t>
  </si>
  <si>
    <t>Methylulfonylmethane (40-80 mes h)</t>
  </si>
  <si>
    <t>Pure Assay - Methylsulfonylmethane (40-80 mes h)</t>
  </si>
  <si>
    <t>Proprietary Bifidobacterium blend (25 billion CFU,54 mg)</t>
  </si>
  <si>
    <t>Pure Assay - Methylsulfonylmethane (60-80 mesh)</t>
  </si>
  <si>
    <t>Proprietary Lactobacillus blend(25 billion CFU, 252 mg)</t>
  </si>
  <si>
    <t>10000 lbs</t>
  </si>
  <si>
    <t>MG Brown Fine RF (50 lb bags)</t>
  </si>
  <si>
    <t>Food Guys - MG Brown Fine Rice Flour (50 lb bags)</t>
  </si>
  <si>
    <t>Pterostilbene</t>
  </si>
  <si>
    <t>240kg</t>
  </si>
  <si>
    <t>LBB Specialties - MICROCRYSTALLINE CELLULOSE 101 NF Item ID 10743 (20kg pack)</t>
  </si>
  <si>
    <t>PurBeef ISO</t>
  </si>
  <si>
    <t>LBB Specialties - MICROCRYSTALLINE CELLULOSE 102 NF Item ID 10744 (20kg pack)</t>
  </si>
  <si>
    <t>Pyridoxal-5-Phosphate</t>
  </si>
  <si>
    <t>LBB Specialties - MICROCRYSTALLINE CELLULOSE 112 NF tem ID 10740 (20kg pack)</t>
  </si>
  <si>
    <t>Pyridoxal-5-Phosphate/P5P</t>
  </si>
  <si>
    <t>Phytochem - Milk Thistle (25:1)</t>
  </si>
  <si>
    <t>Pyridoxine HCL Powder(Vitamin B6)</t>
  </si>
  <si>
    <t>M Nutra - Milk Thistle (25:1) , 80% Silymarin</t>
  </si>
  <si>
    <t>Pyridoxine Hydrochloride (Vitamin B6)</t>
  </si>
  <si>
    <t>Pure Assay - Milk Thistle 80% (Silymarin)</t>
  </si>
  <si>
    <t>Quercetin Anhydrous</t>
  </si>
  <si>
    <t>Comext Nutrition Inc. - Milk Thistle Extract - 80% Silymarin</t>
  </si>
  <si>
    <t>Quercetin dihydrate powder (Sophora japonical) 95% - 100kg</t>
  </si>
  <si>
    <t>Forward Farma - Milk Thistle Extract 80%, 30%</t>
  </si>
  <si>
    <t>Quercetin dihydrate powder (Sophora japonical) 95% - 25kg</t>
  </si>
  <si>
    <t>Jiaherb - Millet Seed Extract 50% L-Methionine by titration</t>
  </si>
  <si>
    <t>Quercetin dihydrate powder (Sophora japonical) 95% - 500kg+</t>
  </si>
  <si>
    <t>OSF Flavors - Mint Nat WONF 8486 liquid</t>
  </si>
  <si>
    <t>Quercetin: Powder</t>
  </si>
  <si>
    <t>Univar</t>
  </si>
  <si>
    <t>Univar - Mixed Tocopherols 95</t>
  </si>
  <si>
    <t>Qwik Flo Honey Gran</t>
  </si>
  <si>
    <t>Balchem - Molybdenum Glycinate Chelate - Product Code 3513</t>
  </si>
  <si>
    <t>R5P (Riboflavin 5’-Phosphate Sodium)</t>
  </si>
  <si>
    <t>Luo Han Guo (Monk Fruit) Extract</t>
  </si>
  <si>
    <t>Andersen Advanced Ingredients - Monk Fruit 50%</t>
  </si>
  <si>
    <t>Raspberry Fruit Powder</t>
  </si>
  <si>
    <t>Andersen Advanced Ingredients - Monk Fruit Extract GuoSweet MV50</t>
  </si>
  <si>
    <t>Raspberry Ketone 98%</t>
  </si>
  <si>
    <t>Andersen Advanced Ingredients - Monk Fruit ExtractGuoSWEET® 30%</t>
  </si>
  <si>
    <t>Raspberry Nat WONF Flavor 7943 PDR</t>
  </si>
  <si>
    <t>Monocalcium Phosphate Monobasic</t>
  </si>
  <si>
    <t>LBB Specialties - Monocalcium Phosphate Monohydrate Powder - 10750 (50 lb bag ~ 22.6 kg)</t>
  </si>
  <si>
    <t>Raspberry Seed Powder</t>
  </si>
  <si>
    <t>Stauber - Monosodium Citrate D</t>
  </si>
  <si>
    <t>RealChaga® extract - 8:1</t>
  </si>
  <si>
    <t>RealCordyceps® extract - 8:1</t>
  </si>
  <si>
    <t>Sodium Phosphate (Monobasic)</t>
  </si>
  <si>
    <t>LBB Specialties - Monosodium Phosphate Monohydrate Powder - 24093 (25 kg bag)</t>
  </si>
  <si>
    <t>RealLion’s Mane® extract - 8:1</t>
  </si>
  <si>
    <t>Stauber - Morton® Culinox® 999® Food Grade Salt</t>
  </si>
  <si>
    <t>RealLion’s Mane® extract - 8:1 Dual</t>
  </si>
  <si>
    <t>Jiaherb - Mucuna Pruriens Extract 98% L-Dopa HPLC</t>
  </si>
  <si>
    <t>RealMaitake® extract - 4:1</t>
  </si>
  <si>
    <t>Pure Assay - Mucuna Pruriens P.E. 99%</t>
  </si>
  <si>
    <t>RealMaitake® extract - 8:1</t>
  </si>
  <si>
    <t>Prinova - Mung Bean Protein 85% - 32845</t>
  </si>
  <si>
    <t>RealReishi® extract - 16:1</t>
  </si>
  <si>
    <t>PC: BBMUEX50</t>
  </si>
  <si>
    <t>Nammex - Mushroom Immune Complex</t>
  </si>
  <si>
    <t>RealReishi® extract - 8:1</t>
  </si>
  <si>
    <t>RealShiitake® extract - 4:1</t>
  </si>
  <si>
    <t>RealShiitake® extract - 8:1</t>
  </si>
  <si>
    <t>RealTremella® extract - 8:1</t>
  </si>
  <si>
    <t>PC: MDMUWP11 Grifola frondosa</t>
  </si>
  <si>
    <t>Nammex - MycoD2® mushroom extract</t>
  </si>
  <si>
    <t>RealTurkeyTail® extract - 8:1</t>
  </si>
  <si>
    <t>Reb M 95% Stevia Converted – Haotian 34059</t>
  </si>
  <si>
    <t>Reb M Bio PureCircle 32691</t>
  </si>
  <si>
    <t>Reb M, Ingea</t>
  </si>
  <si>
    <t>Green Jeeva - Myo-Inositol</t>
  </si>
  <si>
    <t>Red Beet Powder P04 (462004) (25kg carton)</t>
  </si>
  <si>
    <t>Jiaherb - Myristuca fragrans Houtt/Semen Myristicae seed powder</t>
  </si>
  <si>
    <t>Red Reishi extract</t>
  </si>
  <si>
    <t>Pure Assay - N,N, Dimethyl Glycine Hcl (DMG)</t>
  </si>
  <si>
    <t>Reduced NAD-NADH</t>
  </si>
  <si>
    <t>Fifth NutriSupply - N-Acetyl Cysteine</t>
  </si>
  <si>
    <t>Reishi Extract 10:01</t>
  </si>
  <si>
    <t>HD Nutrition - N-Acetyl-L-Cysteine (NAC)</t>
  </si>
  <si>
    <t>Reishi Extract 8:01 (1 kg or 5kg packs)</t>
  </si>
  <si>
    <t>M Nutra - N-Acetyl-L-Tyrosine</t>
  </si>
  <si>
    <t>REMYFLO R7-90 T CP (White Rice Flour) (20kg bag)</t>
  </si>
  <si>
    <t>Phytochem - NAD+</t>
  </si>
  <si>
    <t>Resveratrol</t>
  </si>
  <si>
    <t>SD Nutrition - NADH (nicotinamide adenine dinucleotide hydrogen)</t>
  </si>
  <si>
    <t>Resveratrol 98%</t>
  </si>
  <si>
    <t>Pure Assay - Naringin 98%</t>
  </si>
  <si>
    <t>Resveratrol 98% Powder</t>
  </si>
  <si>
    <t>Virginia Dare</t>
  </si>
  <si>
    <t>100 lbs</t>
  </si>
  <si>
    <t>Virginia Dare - NAT BLACKBERRY FL WONF PWD #27841 (code=JC64)</t>
  </si>
  <si>
    <t>Resveratrol Giant Knotweed Extract ACNS00595</t>
  </si>
  <si>
    <t>Virginia Dare - NAT FL FOR MANGO PWD #23684 (code=SU52)</t>
  </si>
  <si>
    <t>Retinyl plamitate (250,000iu/g) (Vitamin A)</t>
  </si>
  <si>
    <t>45.36 kg</t>
  </si>
  <si>
    <t>Virginia Dare - NAT GRAPEFRUIT FL WONF SD #39850 - RP37</t>
  </si>
  <si>
    <t>Rhodiola Rosea Extract | 5:1 (20kg pack)</t>
  </si>
  <si>
    <t>Virginia Dare - NAT GREEN APPLE TYPE FL SD #41665 - ZN94</t>
  </si>
  <si>
    <t>Rhodiola Rosea extract 3% 1%</t>
  </si>
  <si>
    <t>FONA</t>
  </si>
  <si>
    <t>100 lbs - 200 lbs</t>
  </si>
  <si>
    <t>Nat Margarita Fl 831.2064U</t>
  </si>
  <si>
    <t>FONA - Nat Margarita Fl 831.2064U (50 lbs box)</t>
  </si>
  <si>
    <t>Rhodiola Rosea Root Powder</t>
  </si>
  <si>
    <t>250 lbs - 450 lbs</t>
  </si>
  <si>
    <t>Riboflavin (Vitamin B2 (25kg/drum pack))</t>
  </si>
  <si>
    <t>Riboflavin 5 -Phosphate (R5P) (10kg/box)</t>
  </si>
  <si>
    <t>Sensapure</t>
  </si>
  <si>
    <t>Sensapure - Nat Masking FL PWD - 764008</t>
  </si>
  <si>
    <t>Riboflavin 5 Sodium Phosphate (5kg bag)</t>
  </si>
  <si>
    <t>Virginia Dare - NAT ORANGE FL WONF SD #42008 - PV20</t>
  </si>
  <si>
    <t>Rice Protein 80% 300 mesh - 32583</t>
  </si>
  <si>
    <t>Virginia Dare - NAT ORANGE GUAVA PINE FL PWD WONF 42340 - ZQ38</t>
  </si>
  <si>
    <t>Rice Protein 80% 600 mesh - 32586</t>
  </si>
  <si>
    <t>108.86kg</t>
  </si>
  <si>
    <t>ADM - Nat Vanilla Fl WONFL FAUS796</t>
  </si>
  <si>
    <t>ROYAL RED POWDER WS 503237-0020</t>
  </si>
  <si>
    <t>ADM - Nat Vanilla Flavor WONF (FATO975)</t>
  </si>
  <si>
    <t>RSP Cherry Juice Concentrate (211201)</t>
  </si>
  <si>
    <t>(JU74) NAT WATERMELON TYPE FL PWD #35791</t>
  </si>
  <si>
    <t>Virginia Dare - NAT WATERMELON TYPE FL PWD #35791 - JU74</t>
  </si>
  <si>
    <t>RSP Cherry Juice Concentrate (211205)</t>
  </si>
  <si>
    <t>Pure Assay - Nattokinase (20,000fu/g)</t>
  </si>
  <si>
    <t>Rutin</t>
  </si>
  <si>
    <t>Jiaherb - Natural Caffeine | 98% from Green Coffee beans</t>
  </si>
  <si>
    <t>Rutin NF11</t>
  </si>
  <si>
    <t>Jiaherb - Natural Caffeine | 98% from Green Tea</t>
  </si>
  <si>
    <t>S7</t>
  </si>
  <si>
    <t>Flavor Producers</t>
  </si>
  <si>
    <t>Natural Flavor Blend (Mixed Berry Type) Powder #927910G</t>
  </si>
  <si>
    <t>Flavor Producers - Natural Flavor Blend (Mixed Berry Type) Powder #927910G (22.68kg box)</t>
  </si>
  <si>
    <t>Saffron Extract 0.3% Safranal UV 20kg pack</t>
  </si>
  <si>
    <t>26006254 - NATURAL CITRUS FLAVOR POWDER</t>
  </si>
  <si>
    <t>Brookside Flavors - Natural Flavor, Cara Cara Type - NATURAL CITRUS FLAVOR POWDER 26006254 - 50 lb pack</t>
  </si>
  <si>
    <t>Salt Masker 6362C PDR</t>
  </si>
  <si>
    <t>Salt Masker Nat Flavor 2955B PDR</t>
  </si>
  <si>
    <t>Saw Palmetto Extract 45%</t>
  </si>
  <si>
    <t>Natural Preservative</t>
  </si>
  <si>
    <t>Chinova Bioworks - Natural Preservative Chiber Mushroom Extract</t>
  </si>
  <si>
    <t>Sea Salt</t>
  </si>
  <si>
    <t>Carmi Flavors</t>
  </si>
  <si>
    <t>100lbs or 50kgs</t>
  </si>
  <si>
    <t>Carmi Flavors - NATURAL RASPBERRY FLAVOR POWDER 751716</t>
  </si>
  <si>
    <t>Sel Gris French Sea Salt</t>
  </si>
  <si>
    <t>22.68kg (50 lbs)</t>
  </si>
  <si>
    <t>Fona - NC Chai Spice Flavor, NAT WONF ORGANIC</t>
  </si>
  <si>
    <t>Selenium Amino Acid Chelate 0.2%</t>
  </si>
  <si>
    <t>45.36kg (100 lbs)</t>
  </si>
  <si>
    <t>Selenomethionine 0.5% (Selenium)</t>
  </si>
  <si>
    <t>Fona - N-C Lavender Flavor, NAT (50 lb pack)</t>
  </si>
  <si>
    <t>Senactiv</t>
  </si>
  <si>
    <t>Shark Cartilage Powder</t>
  </si>
  <si>
    <t>Shiitake extract</t>
  </si>
  <si>
    <t>Pure Assay - Nettle Root P.E. 1%</t>
  </si>
  <si>
    <t>Shiitake Extract 10:01</t>
  </si>
  <si>
    <t>Future Ceuticals - NeuroFactor</t>
  </si>
  <si>
    <t>Shiitake Extract 8:01 (1 kg or 5kg packs)</t>
  </si>
  <si>
    <t>M Nutra - Niacin</t>
  </si>
  <si>
    <t>Silicon Dioxide (20kg pack)</t>
  </si>
  <si>
    <t>Pure Assay - Niacin</t>
  </si>
  <si>
    <t>Silicon Dioxide (Aerosil 200)</t>
  </si>
  <si>
    <t>Pure Assay - Niacinamide</t>
  </si>
  <si>
    <t>SIPERNAT 28</t>
  </si>
  <si>
    <t>M Nutra - Niacinamide (Vitamin B3)</t>
  </si>
  <si>
    <t>Sipernat 50 S 25391-58006 (25lb bag)</t>
  </si>
  <si>
    <t>Pure Assay - Nicotinamide Mononucleotide</t>
  </si>
  <si>
    <t>Slippery Elm Bark Extract Powder 10:1</t>
  </si>
  <si>
    <t>HD Nutrition - Nicotinamide Mononucleotide (NMN)</t>
  </si>
  <si>
    <t>Slippery Elm Bark Powder | China (80 mesh) Rossed (pack=15)</t>
  </si>
  <si>
    <t>HD Nutrition - Nicotinamide Riboside Hydrogen Malate</t>
  </si>
  <si>
    <t>Sodium Alginate (F-200) Item ID 11076</t>
  </si>
  <si>
    <t>Sodium Alginate (F-200L) Item ID 11077</t>
  </si>
  <si>
    <t>SD Nutrition - Nicotinamide Riboside Hydrogen Malate</t>
  </si>
  <si>
    <t>Sodium Ascorbate</t>
  </si>
  <si>
    <t>American Ingredients Inc. - Nisin</t>
  </si>
  <si>
    <t>Sodium Benzoate (MC: 16158143 - SOD BENZOATE PROBENZ SG BAG107) (25kg bag)</t>
  </si>
  <si>
    <t>2kg</t>
  </si>
  <si>
    <t>American International Ingredients - Nisin</t>
  </si>
  <si>
    <t>Sodium Bicarbonate</t>
  </si>
  <si>
    <t>Mark Nature Website</t>
  </si>
  <si>
    <t>8oz</t>
  </si>
  <si>
    <t>Mark Nature Website - Nisin</t>
  </si>
  <si>
    <t>Sodium Bicarbonate (19126)</t>
  </si>
  <si>
    <t>4kg</t>
  </si>
  <si>
    <t>American Ingredients Inc. - Nisin (4kg case)</t>
  </si>
  <si>
    <t>Sodium Bicarbonate (code = 22545-53842) 50 lb bag</t>
  </si>
  <si>
    <t>23.59kg</t>
  </si>
  <si>
    <t>American International Ingredients - Nisin (52 lbs carton)</t>
  </si>
  <si>
    <t>Sodium Carbonate</t>
  </si>
  <si>
    <t>SD Nutrition - NMN (Î²-Nicotinamide Mononucleotide)</t>
  </si>
  <si>
    <t>Sodium Chloride</t>
  </si>
  <si>
    <t>HD Nutrition - NMNH (Dihydro Nicotinamide Mononucleotide)</t>
  </si>
  <si>
    <t>Sodium Chloride (Salt)</t>
  </si>
  <si>
    <t>SD Nutrition - NMNH (Dihydro Nicotinamide Mononucleotide)</t>
  </si>
  <si>
    <t>Sodium Chloride (Salt) ( 20542-58140)</t>
  </si>
  <si>
    <t>ThermoLife</t>
  </si>
  <si>
    <t>ThermoLife - NO3-T</t>
  </si>
  <si>
    <t>Sodium Citrate</t>
  </si>
  <si>
    <t>AmTech Ingredients</t>
  </si>
  <si>
    <t>50-1950 lbs</t>
  </si>
  <si>
    <t>Honey Powder</t>
  </si>
  <si>
    <t>AmTech Ingredients - Non-GMO Honey Powder 1170</t>
  </si>
  <si>
    <t>Sodium Citrate - A173700 (50 lbs)</t>
  </si>
  <si>
    <t>2000-5950 lbs</t>
  </si>
  <si>
    <t>Sodium Copper Chlorophyllin</t>
  </si>
  <si>
    <t>6000-11950 lbs</t>
  </si>
  <si>
    <t>Sodium Diacetate Powder</t>
  </si>
  <si>
    <t>HD Nutrition - NR (Nicotinamide Riboside Chloride)</t>
  </si>
  <si>
    <t>Sodium Diacetate Powder - A183850 (50 lbs)</t>
  </si>
  <si>
    <t>SD Nutrition - NR (Nicotinamide Riboside Chloride)</t>
  </si>
  <si>
    <t>Sodium Gluconate (Code: 25865-58333) 25kg bag</t>
  </si>
  <si>
    <t>Forward Farma - NR Nicotinamide Riboside Chloride</t>
  </si>
  <si>
    <t>Sodium Hyaluronate</t>
  </si>
  <si>
    <t>Harlen Johnson</t>
  </si>
  <si>
    <t>35lb</t>
  </si>
  <si>
    <t>Harlen Johnson - nu-FLOW</t>
  </si>
  <si>
    <t>Sodium Hyaluronate 0.8 - 1.5MDA</t>
  </si>
  <si>
    <t>Harlen Johnson - nu-FLOW (Organic)</t>
  </si>
  <si>
    <t>Sodium Phosphate (Monobasic) 11950 (Disodium Phosphate Anhydrous)</t>
  </si>
  <si>
    <t>IMCDUS - Nutmeg Extract</t>
  </si>
  <si>
    <t>SolNul Resistant Starch</t>
  </si>
  <si>
    <t>Green Jeeva - Nutmeg Extract Powder 4:1</t>
  </si>
  <si>
    <t>Sophora Japonica Extract Rutin 95%</t>
  </si>
  <si>
    <t>Clover Nutrition</t>
  </si>
  <si>
    <t>Nutmeg Fruit Straight Powder</t>
  </si>
  <si>
    <t>Clover Nutrition - Nutmeg Fruit Straight Powder (25kg packs)</t>
  </si>
  <si>
    <t>Soy Protein 90% - 16214</t>
  </si>
  <si>
    <t>NP Nutra - Nutmeg Fruit Extract 4:1 ( Extract Solvent: Water )</t>
  </si>
  <si>
    <t>Spectra</t>
  </si>
  <si>
    <t>ManusBio</t>
  </si>
  <si>
    <t>ManusBio - NutraSweetM Reb M 95 Natural</t>
  </si>
  <si>
    <t>Spermidine 3HCL (Spermidine Trihydrochloride)</t>
  </si>
  <si>
    <t>1-10kg</t>
  </si>
  <si>
    <t>Spermidine Trihydrochloride</t>
  </si>
  <si>
    <t>11-300kg</t>
  </si>
  <si>
    <t>Spinach</t>
  </si>
  <si>
    <t>300kg+</t>
  </si>
  <si>
    <t>Spinach Extract</t>
  </si>
  <si>
    <t>Roquette</t>
  </si>
  <si>
    <t>Fiber</t>
  </si>
  <si>
    <t>600kg</t>
  </si>
  <si>
    <t>Nutiose FB06</t>
  </si>
  <si>
    <t>Roquette - Nutriose FB06</t>
  </si>
  <si>
    <t>Spirulina</t>
  </si>
  <si>
    <t>NP Nutra - Oat Grass</t>
  </si>
  <si>
    <t>Spirulina Blue P50</t>
  </si>
  <si>
    <t>Invico (Covico) - Oat Milk Powder Low Flavor Oatvico 16131</t>
  </si>
  <si>
    <t>Spirulina Extract (code 043441005) (5kg or 20kg pack)</t>
  </si>
  <si>
    <t>Invico (Covico) - Oat Milk Powder LS Oatvico 16141</t>
  </si>
  <si>
    <t>Spirulina Extract 043441005</t>
  </si>
  <si>
    <t>Invico (Covico) - Oat Milk Powder Oatvico 16121</t>
  </si>
  <si>
    <t>StaleyDex #333</t>
  </si>
  <si>
    <t>HD Nutrition - Olive Leaf Extract 20%</t>
  </si>
  <si>
    <t>StaleyDex #333 - A24850 (50 lbs)</t>
  </si>
  <si>
    <t>HD Nutrition - Olive Leaf Extract 40%</t>
  </si>
  <si>
    <t>Star Anise Powder</t>
  </si>
  <si>
    <t>OptiMSM</t>
  </si>
  <si>
    <t>Balchem - OptiMSM (code=11600)</t>
  </si>
  <si>
    <t>Stearic Acid</t>
  </si>
  <si>
    <t>Stauber - OptiMSM Microprill 0.5% SiO2 [26593-59497]</t>
  </si>
  <si>
    <t>Stevia 302NSP (if over 5kg, pack sizes 5, 10, 15, 20)</t>
  </si>
  <si>
    <t>120kg</t>
  </si>
  <si>
    <t>Stevia Extract 98% Reb-A</t>
  </si>
  <si>
    <t>720kg</t>
  </si>
  <si>
    <t>Stevia Leaf Extract | 98% Rebaudioside A HPLC (15kg pack)</t>
  </si>
  <si>
    <t>OSF Flavors - Orange 4295B PDR 16.60</t>
  </si>
  <si>
    <t>Stevia Leaf Extract RA95</t>
  </si>
  <si>
    <t>OSF Flavors - Orange 6368C PDR</t>
  </si>
  <si>
    <t>Stevia P.E. 90%</t>
  </si>
  <si>
    <t>Zoom Essence</t>
  </si>
  <si>
    <t>Zoom Essence - Orange Flavor ZE99485</t>
  </si>
  <si>
    <t>Stevia Reb A</t>
  </si>
  <si>
    <t>Stevia Reb A 99%</t>
  </si>
  <si>
    <t>N1237</t>
  </si>
  <si>
    <t>Future Ceuticals - Orange Juice Powder</t>
  </si>
  <si>
    <t>Stevia Reb M 95%</t>
  </si>
  <si>
    <t>OSF Flavors - Org. Berry 4732B-O PDR</t>
  </si>
  <si>
    <t>Strawberry 6494A PDR</t>
  </si>
  <si>
    <t>OSF Flavors - Org. Blackberry 5767B-O PDR</t>
  </si>
  <si>
    <t>Strawberry Fruit Powder</t>
  </si>
  <si>
    <t>OSF Flavors - Org. Limeade Flavor 8578B-O PDR</t>
  </si>
  <si>
    <t>Sucralose</t>
  </si>
  <si>
    <t>OSF Flavors - Org. Mixed Berry 7947B-O PDR</t>
  </si>
  <si>
    <t>Sugar Powder 10X</t>
  </si>
  <si>
    <t>OSF Flavors - Org. Orange Flavor 6911A-O PDR</t>
  </si>
  <si>
    <t>Sugar Powder 10X - A200900 (50 lbs)</t>
  </si>
  <si>
    <t>Prinova - Organic Beef Broth - 30707</t>
  </si>
  <si>
    <t>Sunflower Lecithin</t>
  </si>
  <si>
    <t>Organic Beetroot Powder</t>
  </si>
  <si>
    <t>Jiaherb - Organic Beet Root Powder</t>
  </si>
  <si>
    <t>Sunflower Lecithin Liquid</t>
  </si>
  <si>
    <t>Green Jeeva - Organic Chlorella Tablets (250–500 mg, 50% protein)</t>
  </si>
  <si>
    <t>Sunflower Lecithin Liquid (Non GMO)</t>
  </si>
  <si>
    <t>OSF Flavors - Organic Chocolate Flavor 9595B-O PDR</t>
  </si>
  <si>
    <t>Sunflower Lecithin Powder</t>
  </si>
  <si>
    <t>Carmi Flavors - ORGANIC CITRUS BLEND FLAVOR 869946</t>
  </si>
  <si>
    <t>Sunflower Lecithin Powder (Non GMO)</t>
  </si>
  <si>
    <t>Ciranda</t>
  </si>
  <si>
    <t>Ciranda - Organic Cocoa Powder Natural 10/12</t>
  </si>
  <si>
    <t>Sunflower Seed Protein 55% - 32836</t>
  </si>
  <si>
    <t>Gillco - Organic Cocoa Powder Natural 10/12</t>
  </si>
  <si>
    <t>Sunlipon 65</t>
  </si>
  <si>
    <t>Organic Coconut Milk 26% Fat Covico 13140</t>
  </si>
  <si>
    <t>Invico (Covico) - Organic Coconut Milk 26% Fat Covico 13140 (50lb bag)</t>
  </si>
  <si>
    <t>Suntheanine® (High Purity L-Theanine) (10kg packs)</t>
  </si>
  <si>
    <t>30kg</t>
  </si>
  <si>
    <t>Green Jeeva - Organic Coconut Milk Powder</t>
  </si>
  <si>
    <t>Superoxide Dismutase (SOD) Bovine</t>
  </si>
  <si>
    <t>Jiaherb - Organic Coconut Milk Powder | Vegan Vietnam (60% Fat) (15kg pack)</t>
  </si>
  <si>
    <t>Svetol (GA841073)</t>
  </si>
  <si>
    <t>Invico (Covico) - Organic Coconut Milk Powder 55% Fat Covico 13156</t>
  </si>
  <si>
    <t>Sweet Potato Powder, Organic, extra fine</t>
  </si>
  <si>
    <t>Invico (Covico) - Organic Coconut Milk Powder 65% Fat Covico 13162</t>
  </si>
  <si>
    <t>SweetVantage (Reb M, etc.) (20kg pack)</t>
  </si>
  <si>
    <t>Global Resources Direct</t>
  </si>
  <si>
    <t>Pallet</t>
  </si>
  <si>
    <t>Global Resources Direct - Organic Coconut Sugar</t>
  </si>
  <si>
    <t>Synephrine HCL 98% Synthetic</t>
  </si>
  <si>
    <t>Invico (Covico) - Organic Evaporated Coconut Nectar</t>
  </si>
  <si>
    <t>Tangerine Nat WONF Flavor 2222B PDR</t>
  </si>
  <si>
    <t>Tapioca Starch</t>
  </si>
  <si>
    <t>Organic Evaporated Coconut Nectar (2x 12.5kg bag in box)</t>
  </si>
  <si>
    <t>Invico (Covico) - Organic Evaporated Coconut Nectar (2x 12.5kg bag in box) (Coconut Sugar)</t>
  </si>
  <si>
    <t>Tapioca Starch - A54050 (50 lbs)</t>
  </si>
  <si>
    <t>Tapioca Starch (100%) (50 lb bags)</t>
  </si>
  <si>
    <t>Organic Evaporated Coconut Nectar (Item 15002)</t>
  </si>
  <si>
    <t>Fuller Ingredients - Organic Evaporated Coconut Nectar (code = 15002)</t>
  </si>
  <si>
    <t>Tapioca Starch (50 lb bag)</t>
  </si>
  <si>
    <t>Invico (Covico) - Organic Evaporated Coconut Water 1 x 20 kg plastic bag in box</t>
  </si>
  <si>
    <t>Tapioca Syrup</t>
  </si>
  <si>
    <t>700kg</t>
  </si>
  <si>
    <t>Tart Cherry 9683A PDR</t>
  </si>
  <si>
    <t>Green Jeeva - Organic Ginger Root Powder</t>
  </si>
  <si>
    <t>Tart Cherry Extract</t>
  </si>
  <si>
    <t>Jiaherb - Organic Ginger Root Powder</t>
  </si>
  <si>
    <t>TASTEVA® D Stevia Sweetener - 10 kg Box</t>
  </si>
  <si>
    <t>Organic Glycerin</t>
  </si>
  <si>
    <t>LBB Specialties - Organic Glycerin (551 lb drums)</t>
  </si>
  <si>
    <t>TASTEVA® M Stevia Sweetener - 10 kg Box</t>
  </si>
  <si>
    <t>Organic Goji (Wolfberry) Extract 45% Polysaccharides UV-Spec Sheet.pdf</t>
  </si>
  <si>
    <t>Jiaherb - Organic Goji (Wolfberry) Extract | 45% Polysaccharides</t>
  </si>
  <si>
    <t>Tastva D</t>
  </si>
  <si>
    <t>Jiaherb - Organic Inulin 90% Jerusalem artichoke</t>
  </si>
  <si>
    <t>Tastva M</t>
  </si>
  <si>
    <t>Comext Nutrition Inc. - Organic Irish Moss Powder</t>
  </si>
  <si>
    <t>Taurine</t>
  </si>
  <si>
    <t>Organic Maca Powder-Spec Sheet.pdf</t>
  </si>
  <si>
    <t>Jiaherb - Organic Maca Powder</t>
  </si>
  <si>
    <t>Taurine (Anti-Caking)</t>
  </si>
  <si>
    <t>Lemur International</t>
  </si>
  <si>
    <t>24.49kg (55 lbs)</t>
  </si>
  <si>
    <t>Lemur International - Organic Madagascan Sweet Ground Cinnamon Powder</t>
  </si>
  <si>
    <t>Taurine Anti caking 80-160 Mesh (10089)</t>
  </si>
  <si>
    <t>Nielsen Massey - Organic Madagascar Bourbon Ground Vanilla Beans (5lb pack)</t>
  </si>
  <si>
    <t>Taurine with anti-caking</t>
  </si>
  <si>
    <t>Layn USA - Organic Monk Fruit Extract MV25% OG-MO G02 (20kg pack) (cost=$160+$32 tariff)</t>
  </si>
  <si>
    <t>Tauroursodeoxycholic Acid (TUDCA)</t>
  </si>
  <si>
    <t>Tendra® Fava Bean Protein Isolate (includes 8.3% tariff)</t>
  </si>
  <si>
    <t>OSF Flavors - Organic Protein Masker 9701B-O PDR</t>
  </si>
  <si>
    <t>Tetrahydrocurcumin Powder 98%</t>
  </si>
  <si>
    <t>Organic Rhodiola Rosea Extract | 4:1</t>
  </si>
  <si>
    <t>Jiaherb - Organic Rhodiola Rosea Extract | 4:1 (20kg pack)</t>
  </si>
  <si>
    <t>Theacrine</t>
  </si>
  <si>
    <t>Jiaherb - Organic Rice Protein 80% (from Brown Rice)</t>
  </si>
  <si>
    <t>Theobromine</t>
  </si>
  <si>
    <t>Prinova - Organic Rice Protein 80% 600 mesh - 32584</t>
  </si>
  <si>
    <t>Thiamin mononitrate (Vitamin B1)</t>
  </si>
  <si>
    <t>Green Jeeva - Organic Spirulina Tablets (250–500 mg, 60% protein)</t>
  </si>
  <si>
    <t>Thiamine HCL</t>
  </si>
  <si>
    <t>Manufacturer: Haotian</t>
  </si>
  <si>
    <t>Freemen Nutra</t>
  </si>
  <si>
    <t>Freemen Nutra - Organic Stevia 97% Reb A</t>
  </si>
  <si>
    <t>Thiamine HCL (77.8% Vitamin B1)</t>
  </si>
  <si>
    <t>Thiamine Mono</t>
  </si>
  <si>
    <t>TIC PRETESTED® Gum Arabic FT Powder</t>
  </si>
  <si>
    <t>1299.66 kg</t>
  </si>
  <si>
    <t>North Central - Organic Tapioca Syrup</t>
  </si>
  <si>
    <t>TIC PRETESTED® Gum Arabic Spray Dry</t>
  </si>
  <si>
    <t>OSF Flavors - Organic Vanilla Creme Flavor 9699B-O PDR</t>
  </si>
  <si>
    <t>Ticalose CMC 15 Fine Powder Cellulose Gum(50 lb bag)</t>
  </si>
  <si>
    <t>Triunfo do Brasil</t>
  </si>
  <si>
    <t>Organic Yerba Mate Extract (Green) GD100</t>
  </si>
  <si>
    <t>Triunfo do Brasil - Organic Yerba Mate Extract (Green) GD100 (25kg pack)</t>
  </si>
  <si>
    <t>Ticaxan Xanthan Gum 200-NGMO (code=75000903) (50 lb cartons)</t>
  </si>
  <si>
    <t>Green Jeeva - Organic Yerba Mate Powder</t>
  </si>
  <si>
    <t>Ticaxan Xanthan Gum 80-NGMO (code=75000889) (55 &amp; 115 lb cartons)</t>
  </si>
  <si>
    <t>PC: POMUWP11 Pleurotus ostreatus</t>
  </si>
  <si>
    <t>Nammex - Oyster mushroom extract</t>
  </si>
  <si>
    <t>Titanium dioxide</t>
  </si>
  <si>
    <t>Titanium dioxide - A227550 (44.092 lbs)</t>
  </si>
  <si>
    <t>Tixosil 38A (Brazil) (20203-RHO-44) 44.092lb bags</t>
  </si>
  <si>
    <t>Tongat Ali- LJ100 Eurycoma Longifolia Root Extract (22% Bioactive Eurypeptides)</t>
  </si>
  <si>
    <t>Puris</t>
  </si>
  <si>
    <t>1 pallet (1764 lbs, 40 bags @ 44.1 lbs each)</t>
  </si>
  <si>
    <t>Puris - P2.0 Pea Protein</t>
  </si>
  <si>
    <t>Tongkat Ali P.E. 100:1</t>
  </si>
  <si>
    <t>HD Nutrition - P5P (Pyridoxal-5-Phosphate)</t>
  </si>
  <si>
    <t>Tongkat-Ali Extract</t>
  </si>
  <si>
    <t>Puris - P870 Pea Protein</t>
  </si>
  <si>
    <t>Top FLO</t>
  </si>
  <si>
    <t>Pure Assay - PABA</t>
  </si>
  <si>
    <t>Traacs</t>
  </si>
  <si>
    <t>Pure Assay - Palmitoylethanolamide</t>
  </si>
  <si>
    <t>Trans-Resveratrol - Japanese Knotweed 50%</t>
  </si>
  <si>
    <t>Pure Assay - Panax Ginseng P.E. 10%</t>
  </si>
  <si>
    <t>Tremella extract</t>
  </si>
  <si>
    <t>Pure Assay - Panax Ginseng P.E. 80%</t>
  </si>
  <si>
    <t>Tribulus Terrestris Extract - 90% Saponis</t>
  </si>
  <si>
    <t>Enfinity</t>
  </si>
  <si>
    <t>TSI</t>
  </si>
  <si>
    <t>Paraxanthine</t>
  </si>
  <si>
    <t>TSI - Paraxanthine (Enfinity™)</t>
  </si>
  <si>
    <t>Tribulus Terrestris Extract 40% Saponins</t>
  </si>
  <si>
    <t>NP Nutra - Parsley</t>
  </si>
  <si>
    <t>Tribulus Terrestris P.E. 45% Saponins</t>
  </si>
  <si>
    <t>Pure Assay - Passion Flower P.E. 4%</t>
  </si>
  <si>
    <t>Tricalcium Citrate</t>
  </si>
  <si>
    <t>OSF Flavors - Passion Fruit 1641E PDR 19.10</t>
  </si>
  <si>
    <t>Tricalcium Citrate Tetrahydrate GN Stauber Code: 24515-56997 Pack Size: 20 KG Bag</t>
  </si>
  <si>
    <t>Puris - Pea Protein</t>
  </si>
  <si>
    <t>Tricalcium Phosphate (25kg pack)</t>
  </si>
  <si>
    <t>HD Nutrition - PEA/Palmitoylethanolamide</t>
  </si>
  <si>
    <t>Tricalcium Phosphate (50 lb bag pack)</t>
  </si>
  <si>
    <t>OSF Flavors - Peach 6412A PDR</t>
  </si>
  <si>
    <t>Trimagnesium Citrate Anhydrous</t>
  </si>
  <si>
    <t>OSF Flavors - Peach Mango 1640E PDR 11.50</t>
  </si>
  <si>
    <t>Trimethyl Glycine (TMG, Betaine Anhydrous)</t>
  </si>
  <si>
    <t>OSF Flavors - Peach Mango 6371C PDR</t>
  </si>
  <si>
    <t>Tripotassium Citrate F6001</t>
  </si>
  <si>
    <t>Compound Solutions - PeakO2</t>
  </si>
  <si>
    <t>Tripotassium Citrate Monohydrate</t>
  </si>
  <si>
    <t>OSF Flavors - Pear 9519A PDR</t>
  </si>
  <si>
    <t>Trisodium Citrate (TSC) F6000</t>
  </si>
  <si>
    <t>IMCDUS - Peppermint Duraome Powder</t>
  </si>
  <si>
    <t>Trisodium Citrate Dihydrate</t>
  </si>
  <si>
    <t>Jiaherb - Peppermint Extract 10:1</t>
  </si>
  <si>
    <t>True Grapefruit - 00-7545 (10lbs - 2x5lb)</t>
  </si>
  <si>
    <t>Green Jeeva - Peppermint Extract Powder 10:1</t>
  </si>
  <si>
    <t>True Grapefruit - 00-7562 (50lbs - 400lb+)</t>
  </si>
  <si>
    <t>Gelita</t>
  </si>
  <si>
    <t>PEPTIPLUS XB</t>
  </si>
  <si>
    <t>Gelita - PEPTIPLUS XB (15kg bags)</t>
  </si>
  <si>
    <t>True Grapefruit - 00-7562 (50lbs)</t>
  </si>
  <si>
    <t>Nuritas</t>
  </si>
  <si>
    <t>PeptiStrong</t>
  </si>
  <si>
    <t>Nuritas - PeptiStrong (20kg bag)</t>
  </si>
  <si>
    <t>True Grapefruit - 00-9016 (1100-2000lb supersack)</t>
  </si>
  <si>
    <t>Specialty Enzymes and Probiotics - Peptizyme-SP</t>
  </si>
  <si>
    <t>True Grapefruit Granular</t>
  </si>
  <si>
    <t>PC: PLMUWP11 Phellinus linteus</t>
  </si>
  <si>
    <t>Nammex - Phellinus extract</t>
  </si>
  <si>
    <t>True Lemon - 00-4035 (1100-2000lb supersack)</t>
  </si>
  <si>
    <t>True Lemon - 00-7524 (50lbs - 400lb+)</t>
  </si>
  <si>
    <t>True Lemon - 00-7524 (50lbs)</t>
  </si>
  <si>
    <t>True Lemon - 00-7538 (10lbs - 2x5lb)</t>
  </si>
  <si>
    <t>M Nutra - Phenylalanine</t>
  </si>
  <si>
    <t>True Lemon Ganular</t>
  </si>
  <si>
    <t>Pure Assay - Phenylethylamine Hydrochloride</t>
  </si>
  <si>
    <t>True Lime - 00-3595 (1100-2000lb supersack)</t>
  </si>
  <si>
    <t>Phytochem - Phosphatidylserine 20%, from sunflower</t>
  </si>
  <si>
    <t>True Lime - 00-7470 (50lbs - 400lb+)</t>
  </si>
  <si>
    <t>M Nutra - Phosphatidylserine 50% powder from sunflower</t>
  </si>
  <si>
    <t>True Lime - 00-7470 (50lbs)</t>
  </si>
  <si>
    <t>Phytochem - Phosphatidylserine 70%, from sunflower</t>
  </si>
  <si>
    <t>True Lime - 00-7484 (10lbs - 2x5lb)</t>
  </si>
  <si>
    <t>Phytochem - Pine Bark Extract (95%) (25 kg)</t>
  </si>
  <si>
    <t>True Lime Granular</t>
  </si>
  <si>
    <t>Jiaherb - Pine Bark Extract 95% Proanthocyanidins UV</t>
  </si>
  <si>
    <t>True Orange Granular</t>
  </si>
  <si>
    <t>OSF Flavors - Pineapple Nat WONF 8104B PDR</t>
  </si>
  <si>
    <t>Truly Grass Fedtm</t>
  </si>
  <si>
    <t>OSF Flavors - Pomegranate 6365C PDR</t>
  </si>
  <si>
    <t>TruServ 2g Greens Blend</t>
  </si>
  <si>
    <t>OSF Flavors - Pomegranate 7466A PDR 18.10</t>
  </si>
  <si>
    <t>TruServ 3g Greens Blend</t>
  </si>
  <si>
    <t>Pomma+®</t>
  </si>
  <si>
    <t>Stauber - Pomegranate Ext Pwd</t>
  </si>
  <si>
    <t>TruServ 7g Fruit Blend</t>
  </si>
  <si>
    <t>Jiaherb - Pomegranate Juice Powder | Pink</t>
  </si>
  <si>
    <t>TUDCA</t>
  </si>
  <si>
    <t>Pure Assay - Pomegranate P.E. 40%</t>
  </si>
  <si>
    <t>Turkey Tail extract</t>
  </si>
  <si>
    <t>Pure Assay - Pomegranate P.E. 40% Polyphenols</t>
  </si>
  <si>
    <t>Turkey Tail Extract 10:01</t>
  </si>
  <si>
    <t>Green Jeeva - Pomegranate Powder</t>
  </si>
  <si>
    <t>Turkey Tail Extract 8:01 (1 kg or 5kg packs)</t>
  </si>
  <si>
    <t>PC: PCMUWP11 Wolfiporia extensa</t>
  </si>
  <si>
    <t>Nammex - Poria extract</t>
  </si>
  <si>
    <t>Turmeric Extract - 4:1</t>
  </si>
  <si>
    <t>Turmeric Extract 95% Curcuminoids</t>
  </si>
  <si>
    <t>Turmeric Extract 95% Curcuminoids (Granular)</t>
  </si>
  <si>
    <t>Uridine 5’-Monophosphate Disodium Salt</t>
  </si>
  <si>
    <t>Pure Assay - Potassium Ascorbate</t>
  </si>
  <si>
    <t>Uridine 5'-monophosphate</t>
  </si>
  <si>
    <t>LBB Specialties - Potassium Bicarbonate</t>
  </si>
  <si>
    <t>Urolithin A 98%</t>
  </si>
  <si>
    <t>21345 Specification Sheet R10-22 (ID 2395481).pdf</t>
  </si>
  <si>
    <t>Stauber - Potassium Bicarbonate</t>
  </si>
  <si>
    <t>Valerian Root P.E. 0.8% Valerenic Acid</t>
  </si>
  <si>
    <t>Stauber - Potassium Bicarbonate code=21345-51850 (50 LB Bag)</t>
  </si>
  <si>
    <t>Vanilla Cream Type Flavor, NAT</t>
  </si>
  <si>
    <t>11822 Armand Spec (4).pdf</t>
  </si>
  <si>
    <t>LBB Specialties - Potassium Carbonate</t>
  </si>
  <si>
    <t>Varuna Extract 1.5% (2201)</t>
  </si>
  <si>
    <t>Stauber - Potassium Carbonate 99% FCC</t>
  </si>
  <si>
    <t>Varuna Extract 80% (2202)</t>
  </si>
  <si>
    <t>LBB Specialties - Potassium Carbonate Anhydrous USP - 10961 (100 lb drum ~ 45.4 kg)</t>
  </si>
  <si>
    <t>VasoDrive-AP</t>
  </si>
  <si>
    <t>250 lb drum ~ 113.4 kg</t>
  </si>
  <si>
    <t>LBB Specialties - Potassium Carbonate Anhydrous USP - 10962 (250 lb drum ~ 113.4 kg)</t>
  </si>
  <si>
    <t>VB5 (D-calcium Pantothenate)</t>
  </si>
  <si>
    <t>Pacific Bridge - Potassium Chloride</t>
  </si>
  <si>
    <t>Vegetable Glycerin (215.9kg drum)</t>
  </si>
  <si>
    <t>115kg</t>
  </si>
  <si>
    <t>Potassium Chloride (anhydrous)</t>
  </si>
  <si>
    <t>Stauber - Potassium Chloride (anhydrous) 20518-59384</t>
  </si>
  <si>
    <t>Verisol® BioActive Collagen Peptide</t>
  </si>
  <si>
    <t>Vine Tea Extract</t>
  </si>
  <si>
    <t>Pure Assay - Potassium Citrate Mono</t>
  </si>
  <si>
    <t>Vinpocetine</t>
  </si>
  <si>
    <t>Stauber - Potassium Gluconate (code=24716-58302) 20kg bag</t>
  </si>
  <si>
    <t>VITACEL® Powdered Cellulose L 00 (40 lb bag)</t>
  </si>
  <si>
    <t>2000lb (907.18kg)</t>
  </si>
  <si>
    <t>Stauber - Potassium Phosphate Dibasic</t>
  </si>
  <si>
    <t>VitaFiber</t>
  </si>
  <si>
    <t>100lb (45.4kg)</t>
  </si>
  <si>
    <t>Vitamin A Acetate 500,000 iu/g</t>
  </si>
  <si>
    <t>20000lb (9071.85kg)</t>
  </si>
  <si>
    <t>Vitamin B6 Pyridoxal-5-phosphate - 25kg pack</t>
  </si>
  <si>
    <t>MONOPOTASSIUM PHOSPHATE (MKP)</t>
  </si>
  <si>
    <t>Stauber - Potassium Phosphate Monobasic code=12375 (50 LB Bag)</t>
  </si>
  <si>
    <t>Vitamin B6 Pyridoxine HCl</t>
  </si>
  <si>
    <t>Ninbo Wanglong</t>
  </si>
  <si>
    <t>100 lb</t>
  </si>
  <si>
    <t>Stauber - Potassium Sorbate</t>
  </si>
  <si>
    <t>Vitamin B9 | Folic Acid</t>
  </si>
  <si>
    <t>Univar Solutions</t>
  </si>
  <si>
    <t>23kg</t>
  </si>
  <si>
    <t>Univar Solutions - Potassium Sorbate (MC: 16160435 - POT SORBATE NANTONG BX200) (23kg box)</t>
  </si>
  <si>
    <t>Food Ingredients - Powdered Sugar (50 lb bag)</t>
  </si>
  <si>
    <t>Vitamin D3</t>
  </si>
  <si>
    <t>HD Nutrition - PQQ</t>
  </si>
  <si>
    <t>Vitamin D3 (30%)</t>
  </si>
  <si>
    <t>Ingredion - PRE-HYDRATED® Gum Arabic FT</t>
  </si>
  <si>
    <t>Vitamin D3 Powder 100,000 iu/g</t>
  </si>
  <si>
    <t>Ingredion - PRE-HYDRATED® Gum Arabic Spray Dry</t>
  </si>
  <si>
    <t>Vitamin D3 Powder 100,000iu/g</t>
  </si>
  <si>
    <t>Specification probiotics powder blend PBD5500 -Probioway.pdf</t>
  </si>
  <si>
    <t>Probioway - Probiotics, Dry</t>
  </si>
  <si>
    <t>Vitamin E Acetate (50% CWS powder)</t>
  </si>
  <si>
    <t>270kg</t>
  </si>
  <si>
    <t>PromOat Beta Glucan Spec.pdf</t>
  </si>
  <si>
    <t>IMCDUS - PromOat Beta Glucan 32%</t>
  </si>
  <si>
    <t>Vitamin K1 1% Anhydrous</t>
  </si>
  <si>
    <t>PLT</t>
  </si>
  <si>
    <t>PLT - Promunel Propolis glyceric liquid 1%</t>
  </si>
  <si>
    <t>Vitamin K2</t>
  </si>
  <si>
    <t>PLT - Promunel Propolis Powder 12%</t>
  </si>
  <si>
    <t>Vitamin K2 0.5%</t>
  </si>
  <si>
    <t>PLT - Promunel Propolis Powder 6%</t>
  </si>
  <si>
    <t>Vitamin K2 1.0%</t>
  </si>
  <si>
    <t>Probioway - Proprietary Bifidobacterium blend (25 billion CFU,54 mg)</t>
  </si>
  <si>
    <t>Vitamin K2 1.5%</t>
  </si>
  <si>
    <t>6-25kg</t>
  </si>
  <si>
    <t>Vitamin K2 Menaquinone-K7</t>
  </si>
  <si>
    <t>26-100kg</t>
  </si>
  <si>
    <t>Vitamin K2 MK-4 1% Beadlet</t>
  </si>
  <si>
    <t>Probioway - Proprietary Lactobacillus blend(25 billion CFU, 252 mg)</t>
  </si>
  <si>
    <t>Vitamin K2 MK-4 1% Powder (Menatetrenone)</t>
  </si>
  <si>
    <t>Vitamin K2 MK-4 1.3% Powder</t>
  </si>
  <si>
    <t>Vitamin K2 MK-4 1.3% Powder (Menatetrenone)</t>
  </si>
  <si>
    <t>HD Nutrition - Pterostilbene</t>
  </si>
  <si>
    <t>Vitamin K2 MK-7</t>
  </si>
  <si>
    <t>Nutraceutical Resource Group</t>
  </si>
  <si>
    <t>Nutraceutical Resource Group - PurBeef ISO</t>
  </si>
  <si>
    <t>Vitamin K2 MK-7 (1% powder) (1 kg, 5kg, and 25kg packs)</t>
  </si>
  <si>
    <t>Phytochem - Pyridoxal-5-Phosphate</t>
  </si>
  <si>
    <t>Vitamin K2 MK-7 1% on MCC</t>
  </si>
  <si>
    <t>Pure Assay - Pyridoxal-5-Phosphate</t>
  </si>
  <si>
    <t>VitaminK2 - K2Vital 0.2% Delta Pwd (code=26621-59542, pack size =1kg)</t>
  </si>
  <si>
    <t>Jiaherb - Pyridoxal-5-Phosphate/P5P</t>
  </si>
  <si>
    <t>Vitamn D3 Powder</t>
  </si>
  <si>
    <t>COA-Pyridoxine HCL Powder-PH23117048.pdf</t>
  </si>
  <si>
    <t>Pure Assay - Pyridoxine HCL Powder(Vitamin B6)</t>
  </si>
  <si>
    <t>Watermelon 5492B PDR</t>
  </si>
  <si>
    <t>Pyridoxine HCL Powder</t>
  </si>
  <si>
    <t>Watermelon 6366C PDR</t>
  </si>
  <si>
    <t>M Nutra - Pyridoxine Hydrochloride (Vitamin B6)</t>
  </si>
  <si>
    <t>Watermelon 6843B PDR 12.10</t>
  </si>
  <si>
    <t>Phytochem - Pyridoxine Hydrochloride (Vitamin B6)</t>
  </si>
  <si>
    <t>Watermelon Flavor 3587C PDR</t>
  </si>
  <si>
    <t>Pure Assay - Quercetin Anhydrous</t>
  </si>
  <si>
    <t>Watermelon Type Nat Flavor 3604C-O PDR</t>
  </si>
  <si>
    <t>Nutri Avenue - Quercetin dihydrate powder (Sophora japonical) 95% - 100kg</t>
  </si>
  <si>
    <t>Wheat Germ Extract; Spermidine 1%</t>
  </si>
  <si>
    <t>Nutri Avenue - Quercetin dihydrate powder (Sophora japonical) 95% - 25kg</t>
  </si>
  <si>
    <t>Wheatgrass</t>
  </si>
  <si>
    <t>500kg+</t>
  </si>
  <si>
    <t>Nutri Avenue - Quercetin dihydrate powder (Sophora japonical) 95% - 500kg+</t>
  </si>
  <si>
    <t>Whey Protein Concentrate</t>
  </si>
  <si>
    <t>Phyhuir - Quercetin: Powder</t>
  </si>
  <si>
    <t>Whey Protein Isolate</t>
  </si>
  <si>
    <t>American Ingredients Inc. - Qwik Flo Honey Gran</t>
  </si>
  <si>
    <t>White Kidney Bean P.E. 20:1</t>
  </si>
  <si>
    <t>Wild Bilberry Fruit Extract</t>
  </si>
  <si>
    <t>HD Nutrition - R5P (Riboflavin 5’-Phosphate Sodium)</t>
  </si>
  <si>
    <t>Wild Blueberry Fruit Extract</t>
  </si>
  <si>
    <t>NP Nutra - Raspberry Fruit Powder</t>
  </si>
  <si>
    <t>Wolfberry (Goji) Extract | 10:1</t>
  </si>
  <si>
    <t>Pure Assay - Raspberry Ketone 98%</t>
  </si>
  <si>
    <t>WPC 80 inst</t>
  </si>
  <si>
    <t>OSF Flavors - Raspberry Nat WONF Flavor 7943 PDR</t>
  </si>
  <si>
    <t>WPC 80 non-inst</t>
  </si>
  <si>
    <t>NP Nutra - Raspberry Seed Powder</t>
  </si>
  <si>
    <t>Xantan Gum</t>
  </si>
  <si>
    <t>PC: IOMUEX81</t>
  </si>
  <si>
    <t>Nammex - RealChaga® extract - 8:1</t>
  </si>
  <si>
    <t>Xanthan Gum</t>
  </si>
  <si>
    <t>XOS 95% Powder (25kg drum)</t>
  </si>
  <si>
    <t>Xylitol</t>
  </si>
  <si>
    <t>Xylitol Powder</t>
  </si>
  <si>
    <t>PC: CMMUEX81</t>
  </si>
  <si>
    <t>Nammex - RealCordyceps® extract - 8:1</t>
  </si>
  <si>
    <t>XYLITOL(HKXC30)</t>
  </si>
  <si>
    <t>Zeaxanthin ( 5% HPLC) 25kg pack</t>
  </si>
  <si>
    <t>Zeaxanthin 5% Powder Tcp (code: 24722-57239) (5kg bag)</t>
  </si>
  <si>
    <t>Zinc Amino Acid Chelate 20%</t>
  </si>
  <si>
    <t>PC: HEMUEX81</t>
  </si>
  <si>
    <t>Nammex - RealLion’s Mane® extract - 8:1</t>
  </si>
  <si>
    <t>Zinc Ascorbate</t>
  </si>
  <si>
    <t>Zinc Bisglycinate Chelate - 26588-59515 (5kg pack) (20% Zn)</t>
  </si>
  <si>
    <t>Zinc Bisglycinate Chelate 26588-59492 (25kg bag) (20% Zn)</t>
  </si>
  <si>
    <t>Zinc Carnosine - 25kg</t>
  </si>
  <si>
    <t>PC: HEMUEX81D</t>
  </si>
  <si>
    <t>Nammex - RealLion’s Mane® extract - 8:1 Dual</t>
  </si>
  <si>
    <t>Zinc Carnosine - 5kg</t>
  </si>
  <si>
    <t>Zinc Citrate</t>
  </si>
  <si>
    <t>Zinc Citrate Dihydrate 24571-58973 (25kg bag)</t>
  </si>
  <si>
    <t>Zinc Gluconate</t>
  </si>
  <si>
    <t>PC: GFMUEX41</t>
  </si>
  <si>
    <t>Nammex - RealMaitake® extract - 4:1</t>
  </si>
  <si>
    <t>Zinc Lactate</t>
  </si>
  <si>
    <t>Zinc Picolinate 20%</t>
  </si>
  <si>
    <t>Zincy Bisglycinate Chelate</t>
  </si>
  <si>
    <t>Zylaria</t>
  </si>
  <si>
    <t>PC: GFMUEX81</t>
  </si>
  <si>
    <t>Nammex - RealMaitake® extract - 8:1</t>
  </si>
  <si>
    <t>Iodine (from Kelp) Organic (25kg pack)</t>
  </si>
  <si>
    <t>Dicalcium Phosphate (25 kg bag)</t>
  </si>
  <si>
    <t>Magnesium Oxide Granular (25 kg bag)</t>
  </si>
  <si>
    <t>Copper Gluconate 14% (25 kg bag)</t>
  </si>
  <si>
    <t>PC: GLMUEX161</t>
  </si>
  <si>
    <t>Nammex - RealReishi® extract - 16:1</t>
  </si>
  <si>
    <t>Molybdenum Amino Acid Chelate 0.1% (25 kg bag)</t>
  </si>
  <si>
    <t>Citrus Bioflavonoids Extract 50% (25 kg drum)</t>
  </si>
  <si>
    <t>Citrus Bioflavonoids Extract 4:1 (25 kg drum)</t>
  </si>
  <si>
    <t>Policosanol 95% / Octacosanol 10% (25 kg drum)</t>
  </si>
  <si>
    <t>PC: GLMUEX81</t>
  </si>
  <si>
    <t>Nammex - RealReishi® extract - 8:1</t>
  </si>
  <si>
    <t>Policosanol 98% / Octacosanol 60% (25 kg drum)</t>
  </si>
  <si>
    <t>Croscarmellose Sodium (25 kg bag)</t>
  </si>
  <si>
    <t>MCT Oil 70% fat load on gum acacia 150160</t>
  </si>
  <si>
    <t>MCT Oil 70% fat load on non-fat dry milk 150237</t>
  </si>
  <si>
    <t>PC: LEMUEX41</t>
  </si>
  <si>
    <t>Nammex - RealShiitake® extract - 4:1</t>
  </si>
  <si>
    <t>Octacosanol 10%</t>
  </si>
  <si>
    <t>Citrus Bioflavonoid 50%</t>
  </si>
  <si>
    <t>Dicalcium Phosphate Anhydrous 22811-54267</t>
  </si>
  <si>
    <t>Kelp Laminaria 50 Mesh Organic 20369-50440</t>
  </si>
  <si>
    <t>PC: LEMUEX81</t>
  </si>
  <si>
    <t>Nammex - RealShiitake® extract - 8:1</t>
  </si>
  <si>
    <t>Magnesium Oxide USP Powder 26307-58869</t>
  </si>
  <si>
    <t>Lemon Bioflavonoid Complex 25 21343-51846</t>
  </si>
  <si>
    <t>Protease 5,000 Acid Stable 25365-57984</t>
  </si>
  <si>
    <t>Amylase 5,000 Skb/Gm 25056-57602</t>
  </si>
  <si>
    <t>PC: TFMUEX81</t>
  </si>
  <si>
    <t>Nammex - RealTremella® extract - 8:1</t>
  </si>
  <si>
    <t>Lipase 1,000 Fip/Gm 25051-57594</t>
  </si>
  <si>
    <t>Cellulase 1,000 Cu/Gm 25807-58254</t>
  </si>
  <si>
    <t>Bacillus coagulans PB-BC02 (food grade) allergen free Potency: 100 billion cfu/g (1kg pack)</t>
  </si>
  <si>
    <t>Prebiotic blend (FOS, Larch Arabinogalactan - FiberAidÂ®)</t>
  </si>
  <si>
    <t>PC: CVMUEX81</t>
  </si>
  <si>
    <t>Nammex - RealTurkeyTail® extract - 8:1</t>
  </si>
  <si>
    <t>INGIABIO REBM95 PRODUCT PACKAGE 2024.pdf</t>
  </si>
  <si>
    <t>Prinova - Reb M 95% Stevia Converted – Haotian 34059</t>
  </si>
  <si>
    <t>Prinova - Reb M Bio PureCircle 32691</t>
  </si>
  <si>
    <t>Ingea</t>
  </si>
  <si>
    <t>Ingea - Reb M, Ingea</t>
  </si>
  <si>
    <t>Givaudan - Red Beet Powder P04 (462004) (25kg carton)</t>
  </si>
  <si>
    <t>PC: GLMUWP11 Ganoderma lingzhi</t>
  </si>
  <si>
    <t>Nammex - Red Reishi extract</t>
  </si>
  <si>
    <t>COA-Resveratrol 98-231111-06.pdf</t>
  </si>
  <si>
    <t>HD Nutrition - Reduced NAD-NADH</t>
  </si>
  <si>
    <t>Comext - Reishi Extract 10:01</t>
  </si>
  <si>
    <t>Reishi Extract 8:01</t>
  </si>
  <si>
    <t>Nammex - Reishi Extract 8:01 (1 kg or 5kg packs)</t>
  </si>
  <si>
    <t>IMCDUS - REMYFLO R7-90 T CP (White Rice Flour) (20kg bag)</t>
  </si>
  <si>
    <t>Phytochem - Resveratrol</t>
  </si>
  <si>
    <t>Pure Assay - Resveratrol 98%</t>
  </si>
  <si>
    <t>M Nutra - Resveratrol 98% Powder</t>
  </si>
  <si>
    <t>MCT Dairies - Resveratrol Giant Knotweed Extract ACNS00595</t>
  </si>
  <si>
    <t>M Nutra - Retinyl plamitate (250,000iu/g) (Vitamin A)</t>
  </si>
  <si>
    <t>Rhodiola Rosea Extract | 5:1</t>
  </si>
  <si>
    <t>Jiaherb - Rhodiola Rosea Extract | 5:1 (20kg pack)</t>
  </si>
  <si>
    <t>Forward Farma - Rhodiola Rosea extract 3% 1%</t>
  </si>
  <si>
    <t>NP Nutra - Rhodiola Rosea Root Powder</t>
  </si>
  <si>
    <t>M Nutra - Riboflavin (Vitamin B2 (25kg/drum pack))</t>
  </si>
  <si>
    <t>Riboflavin</t>
  </si>
  <si>
    <t>M Nutra - Riboflavin 5 -Phosphate (R5P) (10kg/box)</t>
  </si>
  <si>
    <t>Pure Assay - Riboflavin 5 Sodium Phosphate (5kg bag)</t>
  </si>
  <si>
    <t>Prinova - Rice Protein 80% 300 mesh - 32583</t>
  </si>
  <si>
    <t>Prinova - Rice Protein 80% 600 mesh - 32586</t>
  </si>
  <si>
    <t>Color</t>
  </si>
  <si>
    <t>Sensient - ROYAL RED POWDER WS 503237-0020</t>
  </si>
  <si>
    <t>Northwest Naturals</t>
  </si>
  <si>
    <t>Northwest Naturals - RSP Cherry Juice Concentrate (211201)</t>
  </si>
  <si>
    <t>571 lbs (1 drum)</t>
  </si>
  <si>
    <t>Northwest Naturals - RSP Cherry Juice Concentrate (211205)</t>
  </si>
  <si>
    <t>Pure Assay - Rutin</t>
  </si>
  <si>
    <t>Phyhuir - Rutin NF11</t>
  </si>
  <si>
    <t>Future Ceuticals - S7</t>
  </si>
  <si>
    <t>Jiaherb - Saffron Extract 0.3% Safranal UV 20kg pack</t>
  </si>
  <si>
    <t>OSF Flavors - Salt Masker 6362C PDR</t>
  </si>
  <si>
    <t>OSF Flavors - Salt Masker Nat Flavor 2955B PDR</t>
  </si>
  <si>
    <t>Phytochem - Saw Palmetto Extract 45%</t>
  </si>
  <si>
    <t>Cargill - Sea Salt</t>
  </si>
  <si>
    <t>Sel Gris® - Velvet grain</t>
  </si>
  <si>
    <t>55-2000lb (24.95 kg)</t>
  </si>
  <si>
    <t>BRETON® SEL GRIS® - FRENCH GREY SEA SALT - VELVET</t>
  </si>
  <si>
    <t>Salt Works - Sel Gris French Sea Salt</t>
  </si>
  <si>
    <t>4400+lb</t>
  </si>
  <si>
    <t>Pure Assay - Selenium Amino Acid Chelate 0.2%</t>
  </si>
  <si>
    <t>Selenomethionine 0.5%</t>
  </si>
  <si>
    <t>Pure Assay - Selenomethionine 0.5% (Selenium)</t>
  </si>
  <si>
    <t>NuLiv Science - Senactiv</t>
  </si>
  <si>
    <t>Pure Assay - Shark Cartilage Powder</t>
  </si>
  <si>
    <t>PC: LEMUWP11 Lentinula edodes</t>
  </si>
  <si>
    <t>Nammex - Shiitake extract</t>
  </si>
  <si>
    <t>Comext - Shiitake Extract 10:01</t>
  </si>
  <si>
    <t>Shiitake Extract 8:01</t>
  </si>
  <si>
    <t>Nammex - Shiitake Extract 8:01 (1 kg or 5kg packs)</t>
  </si>
  <si>
    <t>Silicon Dioxide</t>
  </si>
  <si>
    <t>Jiaherb - Silicon Dioxide (20kg pack)</t>
  </si>
  <si>
    <t>IMCDUS - Silicon Dioxide (Aerosil 200)</t>
  </si>
  <si>
    <t>11kg</t>
  </si>
  <si>
    <t>IMCDUS - SIPERNAT 28</t>
  </si>
  <si>
    <t>Sipernat 50 S 25391-58006</t>
  </si>
  <si>
    <t>Stauber - Sipernat 50 S 25391-58006 (25lb bag)</t>
  </si>
  <si>
    <t>Green Jeeva - Slippery Elm Bark Extract Powder 10:1</t>
  </si>
  <si>
    <t>Slippery Elm Bark</t>
  </si>
  <si>
    <t>Jiaherb - Slippery Elm Bark Powder | China (80 mesh) Rossed (pack=15)</t>
  </si>
  <si>
    <t>LBB Specialties - Sodium Alginate (F-200) Item ID 11076</t>
  </si>
  <si>
    <t>LBB Specialties - Sodium Alginate (F-200L) Item ID 11077</t>
  </si>
  <si>
    <t>Fuller Ingredients - Sodium Ascorbate</t>
  </si>
  <si>
    <t>Pure Assay - Sodium Ascorbate</t>
  </si>
  <si>
    <t>Sodium Ascorbate Crystal</t>
  </si>
  <si>
    <t>Stauber - Sodium Ascorbate</t>
  </si>
  <si>
    <t>Univar Solutions - Sodium Benzoate (MC: 16158143 - SOD BENZOATE PROBENZ SG BAG107) (25kg bag)</t>
  </si>
  <si>
    <t>Pure Assay - Sodium Bicarbonate</t>
  </si>
  <si>
    <t>Pacific Bridge - Sodium Bicarbonate (19126)</t>
  </si>
  <si>
    <t>Stauber - Sodium Bicarbonate (code = 22545-53842) 50 lb bag</t>
  </si>
  <si>
    <t>500 lbs</t>
  </si>
  <si>
    <t>2450 lbs</t>
  </si>
  <si>
    <t>MTC Industries - Sodium Carbonate</t>
  </si>
  <si>
    <t>Pacific Bridge - Sodium Chloride</t>
  </si>
  <si>
    <t>1000lb (454kg)</t>
  </si>
  <si>
    <t>Stauber - Sodium Chloride (Salt)</t>
  </si>
  <si>
    <t>2,450lb (1111kg)</t>
  </si>
  <si>
    <t>42000lb (19,050kg)</t>
  </si>
  <si>
    <t>Stauber - Sodium Chloride (Salt) ( 20542-58140)</t>
  </si>
  <si>
    <t>Food Ingredients - Sodium Citrate</t>
  </si>
  <si>
    <t>997.90 kg</t>
  </si>
  <si>
    <t>North Central - Sodium Citrate</t>
  </si>
  <si>
    <t>Food Ingredients - Sodium Citrate - A173700 (50 lbs)</t>
  </si>
  <si>
    <t>Pure Assay - Sodium Copper Chlorophyllin</t>
  </si>
  <si>
    <t>Food Ingredients - Sodium Diacetate Powder</t>
  </si>
  <si>
    <t>Food Ingredients - Sodium Diacetate Powder - A183850 (50 lbs)</t>
  </si>
  <si>
    <t>Stauber - Sodium Gluconate (Code: 25865-58333) 25kg bag</t>
  </si>
  <si>
    <t>Phytochem - Sodium Hyaluronate</t>
  </si>
  <si>
    <t>Pure Assay - Sodium Hyaluronate</t>
  </si>
  <si>
    <t>HD Nutrition - Sodium Hyaluronate 0.8 - 1.5MDA</t>
  </si>
  <si>
    <t>Pacific Bridge - Sodium Phosphate (Monobasic) 11950 (Disodium Phosphate Anhydrous)</t>
  </si>
  <si>
    <t>Quadra</t>
  </si>
  <si>
    <t>under 250kg</t>
  </si>
  <si>
    <t>Solnul-US_Spec-Sheet-V11 November 5 2024.pdf</t>
  </si>
  <si>
    <t>Quadra - SolNul Resistant Starch</t>
  </si>
  <si>
    <t>275 kg - 1000 kg</t>
  </si>
  <si>
    <t>1-5 pallets</t>
  </si>
  <si>
    <t>5+ pallets</t>
  </si>
  <si>
    <t>Forward Farma - Sophora Japonica Extract Rutin 95%</t>
  </si>
  <si>
    <t>Prinova - Soy Protein 90% - 16214</t>
  </si>
  <si>
    <t>Future Ceuticals - Spectra</t>
  </si>
  <si>
    <t>SD Nutrition - Spermidine 3HCL (Spermidine Trihydrochloride)</t>
  </si>
  <si>
    <t>HD Nutrition - Spermidine Trihydrochloride</t>
  </si>
  <si>
    <t>NP Nutra - Spinach</t>
  </si>
  <si>
    <t>Flexible based on need</t>
  </si>
  <si>
    <t>Phyhuir - Spinach Extract</t>
  </si>
  <si>
    <t>MTC Industries - Spirulina</t>
  </si>
  <si>
    <t>DDW-PTW-489015 PDS (3).pdf</t>
  </si>
  <si>
    <t>Givaudan - Spirulina Blue P50</t>
  </si>
  <si>
    <t>LBB Specalites</t>
  </si>
  <si>
    <t>LBB Specalites - Spirulina Extract (code 043441005) (5kg or 20kg pack)</t>
  </si>
  <si>
    <t>Sensient - Spirulina Extract 043441005</t>
  </si>
  <si>
    <t>Food Ingredients - StaleyDex #333</t>
  </si>
  <si>
    <t>Food Ingredients - StaleyDex #333 - A24850 (50 lbs)</t>
  </si>
  <si>
    <t>Jiaherb - Star Anise Powder</t>
  </si>
  <si>
    <t>Pure Assay - Stearic Acid</t>
  </si>
  <si>
    <t>302NSP</t>
  </si>
  <si>
    <t>Clear Mask</t>
  </si>
  <si>
    <t>Stevia 302NSP</t>
  </si>
  <si>
    <t>Clear Mask - Stevia 302NSP (if over 5kg, pack sizes 5, 10, 15, 20)</t>
  </si>
  <si>
    <t>Freemen Nutra - Stevia Extract 98% Reb-A</t>
  </si>
  <si>
    <t>Stevia Extract (Reb-A)</t>
  </si>
  <si>
    <t>Jiaherb - Stevia Leaf Extract | 98% Rebaudioside A HPLC (15kg pack)</t>
  </si>
  <si>
    <t>Layn USA - Stevia Leaf Extract RA95</t>
  </si>
  <si>
    <t>Pure Assay - Stevia P.E. 90%</t>
  </si>
  <si>
    <t>Andersen Advanced Ingredients - Stevia Reb A</t>
  </si>
  <si>
    <t>Haotian</t>
  </si>
  <si>
    <t>Freemen Nutra - Stevia Reb A 99%</t>
  </si>
  <si>
    <t>Freemen Nutra - Stevia Reb M 95%</t>
  </si>
  <si>
    <t>OSF Flavors - Strawberry 6494A PDR</t>
  </si>
  <si>
    <t>NP Nutra - Strawberry Fruit Powder</t>
  </si>
  <si>
    <t>Fifth NutriSupply - Sucralose</t>
  </si>
  <si>
    <t>MTC Industries - Sucralose</t>
  </si>
  <si>
    <t>Phytochem - Sucralose</t>
  </si>
  <si>
    <t>Pure Assay - Sucralose</t>
  </si>
  <si>
    <t>Food Ingredients - Sugar Powder 10X</t>
  </si>
  <si>
    <t>Food Ingredients - Sugar Powder 10X - A200900 (50 lbs)</t>
  </si>
  <si>
    <t>Sunrise</t>
  </si>
  <si>
    <t>205kg</t>
  </si>
  <si>
    <t>JM Swank (Brenntag) - Sunflower Lecithin</t>
  </si>
  <si>
    <t>Cargill - Sunflower Lecithin Liquid</t>
  </si>
  <si>
    <t>Lecico</t>
  </si>
  <si>
    <t>Ciranda - Sunflower Lecithin Liquid (Non GMO)</t>
  </si>
  <si>
    <t>Cargill - Sunflower Lecithin Powder</t>
  </si>
  <si>
    <t>Ciranda - Sunflower Lecithin Powder (Non GMO)</t>
  </si>
  <si>
    <t>Prinova - Sunflower Seed Protein 55% - 32836</t>
  </si>
  <si>
    <t>Perimondo</t>
  </si>
  <si>
    <t>Perimondo - Sunlipon 65</t>
  </si>
  <si>
    <t>Nutriscience Innovations</t>
  </si>
  <si>
    <t>10-40kg</t>
  </si>
  <si>
    <t>Suntheanine® (High Purity L-Theanine)</t>
  </si>
  <si>
    <t>Nutriscience Innovations - Suntheanine® (High Purity L-Theanine) (10kg packs)</t>
  </si>
  <si>
    <t>Pure Assay - Superoxide Dismutase (SOD) Bovine</t>
  </si>
  <si>
    <t>Givaudan - Svetol (GA841073)</t>
  </si>
  <si>
    <t>10kg (price is for less than 100kg)</t>
  </si>
  <si>
    <t>SPEC SHEET Sweet Potato Pwd (org) - 964.pdf</t>
  </si>
  <si>
    <t>NP Nutra - Sweet Potato Powder, Organic, extra fine</t>
  </si>
  <si>
    <t>SweetVantage (Reb M, etc.)</t>
  </si>
  <si>
    <t>NNB Nutrition - SweetVantage (Reb M, etc.) (20kg pack)</t>
  </si>
  <si>
    <t>Pure Assay - Synephrine HCL 98% Synthetic</t>
  </si>
  <si>
    <t>OSF Flavors - Tangerine Nat WONF Flavor 2222B PDR</t>
  </si>
  <si>
    <t>Food Ingredients - Tapioca Starch</t>
  </si>
  <si>
    <t>Food Ingredients - Tapioca Starch - A54050 (50 lbs)</t>
  </si>
  <si>
    <t>793.786kg/1750 lbs (35 bags= 1 pallet)</t>
  </si>
  <si>
    <t>Tapioca Starch (100%)</t>
  </si>
  <si>
    <t>Food Ingredients - Tapioca Starch (100%) (50 lb bags)</t>
  </si>
  <si>
    <t>44.96kg</t>
  </si>
  <si>
    <t>Food Ingredients - Tapioca Starch (50 lb bag)</t>
  </si>
  <si>
    <t>1399.86 kg</t>
  </si>
  <si>
    <t>North Central - Tapioca Syrup</t>
  </si>
  <si>
    <t>OSF Flavors - Tart Cherry 9683A PDR</t>
  </si>
  <si>
    <t>CherryPure</t>
  </si>
  <si>
    <t>Andersen Advanced Ingredients - Tart Cherry Extract</t>
  </si>
  <si>
    <t>NP Nutra - Tart Cherry Extract</t>
  </si>
  <si>
    <t>Solutions Direct</t>
  </si>
  <si>
    <t>Solutions Direct - TASTEVA® D Stevia Sweetener - 10 kg Box</t>
  </si>
  <si>
    <t>Solutions Direct - TASTEVA® M Stevia Sweetener - 10 kg Box</t>
  </si>
  <si>
    <t>Andersen Advanced Ingredients - Tastva D</t>
  </si>
  <si>
    <t>Specification.L-Taurine.pdf</t>
  </si>
  <si>
    <t>Andersen Advanced Ingredients - Tastva M</t>
  </si>
  <si>
    <t>400kg</t>
  </si>
  <si>
    <t>0 - Taurine</t>
  </si>
  <si>
    <t>Pure Assay - Taurine (Anti-Caking)</t>
  </si>
  <si>
    <t>Pacific Bridge - Taurine Anti caking 80-160 Mesh (10089)</t>
  </si>
  <si>
    <t>Fuller Ingredients - Taurine with anti-caking</t>
  </si>
  <si>
    <t>Pure Assay - Tauroursodeoxycholic Acid (TUDCA)</t>
  </si>
  <si>
    <t>Sensus - Tendra® Fava Bean Protein Isolate (includes 8.3% tariff)</t>
  </si>
  <si>
    <t>Salispharm</t>
  </si>
  <si>
    <t>COA-Tetrahydrocurcumin 98%.pdf</t>
  </si>
  <si>
    <t>Salispharm - Tetrahydrocurcumin Powder 98%</t>
  </si>
  <si>
    <t>Pure Assay - Theacrine</t>
  </si>
  <si>
    <t>Pure Assay - Theobromine</t>
  </si>
  <si>
    <t>M Nutra - Thiamin mononitrate (Vitamin B1)</t>
  </si>
  <si>
    <t>Pure Assay - Thiamine HCL</t>
  </si>
  <si>
    <t>Pure Assay - Thiamine HCL (77.8% Vitamin B1)</t>
  </si>
  <si>
    <t>Pure Assay - Thiamine Mono</t>
  </si>
  <si>
    <t>Ingredion - TIC PRETESTED® Gum Arabic FT Powder</t>
  </si>
  <si>
    <t>Ingredion - TIC PRETESTED® Gum Arabic Spray Dry</t>
  </si>
  <si>
    <t>Ingredion - Ticalose CMC 15 Fine Powder Cellulose Gum(50 lb bag)</t>
  </si>
  <si>
    <t>50 lbs (under 100 lbs)</t>
  </si>
  <si>
    <t>Ingredion - Ticaxan Xanthan Gum 200-NGMO (code=75000903) (50 lb cartons)</t>
  </si>
  <si>
    <t>50 lbs (100-499 lbs)</t>
  </si>
  <si>
    <t>50 lbs (499-pallet lbs)</t>
  </si>
  <si>
    <t>55 lbs (under 100 lbs)</t>
  </si>
  <si>
    <t>Ingredion - Ticaxan Xanthan Gum 80-NGMO (code=75000889) (55 &amp; 115 lb cartons)</t>
  </si>
  <si>
    <t>55 lbs (100-499 lbs)</t>
  </si>
  <si>
    <t>55 lbs (499-pallet lbs)</t>
  </si>
  <si>
    <t>45 lbs (20.41 kg)</t>
  </si>
  <si>
    <t>Food Ingredients - Titanium dioxide</t>
  </si>
  <si>
    <t>45 lbs</t>
  </si>
  <si>
    <t>Food Ingredients - Titanium dioxide - A227550 (44.092 lbs)</t>
  </si>
  <si>
    <t>ChemServ</t>
  </si>
  <si>
    <t>ChemServ - Tixosil 38A (Brazil) (20203-RHO-44) 44.092lb bags</t>
  </si>
  <si>
    <t>LJ100</t>
  </si>
  <si>
    <t>HP Ingredients</t>
  </si>
  <si>
    <t>1kg-49kg</t>
  </si>
  <si>
    <t>Tongkat Ali Extract LJ100 (Eurycoma lonifolia standarized 22% eurypeptides)</t>
  </si>
  <si>
    <t>HP Ingredients - Tongat Ali- LJ100 Eurycoma Longifolia Root Extract (22% Bioactive Eurypeptides)</t>
  </si>
  <si>
    <t>Pure Assay - Tongkat Ali P.E. 100:1</t>
  </si>
  <si>
    <t>Comext Nutrition Inc. - Tongkat-Ali Extract</t>
  </si>
  <si>
    <t>JM Swank (Brenntag) - Top FLO</t>
  </si>
  <si>
    <t>Healthy Origins?</t>
  </si>
  <si>
    <t>Healthy Origins? - Traacs</t>
  </si>
  <si>
    <t>HD Nutrition - Trans-Resveratrol - Japanese Knotweed 50%</t>
  </si>
  <si>
    <t>PC: TFMUWP11 Tremella fuciformis</t>
  </si>
  <si>
    <t>Nammex - Tremella extract</t>
  </si>
  <si>
    <t>Comext Nutrition Inc. - Tribulus Terrestris Extract - 90% Saponis</t>
  </si>
  <si>
    <t>Call for price</t>
  </si>
  <si>
    <t>HD Nutrition - Tribulus Terrestris Extract 40% Saponins</t>
  </si>
  <si>
    <t>Pure Assay - Tribulus Terrestris P.E. 45% Saponins</t>
  </si>
  <si>
    <t>Stauber - Tricalcium Citrate</t>
  </si>
  <si>
    <t>TriCalcium Citrate Tetrahydrate</t>
  </si>
  <si>
    <t>Stauber - Tricalcium Citrate Tetrahydrate GN Stauber Code: 24515-56997 Pack Size: 20 KG Bag</t>
  </si>
  <si>
    <t>Tricalcium Phosphate</t>
  </si>
  <si>
    <t>Stauber - Tricalcium Phosphate (25kg pack)</t>
  </si>
  <si>
    <t>50 lbs</t>
  </si>
  <si>
    <t>M Nutra - Tricalcium Phosphate (50 lb bag pack)</t>
  </si>
  <si>
    <t>26457 Specification Sheet R11-24 (ID 3217883).pdf</t>
  </si>
  <si>
    <t>Stauber - Trimagnesium Citrate Anhydrous</t>
  </si>
  <si>
    <t>10000 kg</t>
  </si>
  <si>
    <t>26460 Specification Sheet R11-24 (ID 3217883).pdf</t>
  </si>
  <si>
    <t>1000 kg</t>
  </si>
  <si>
    <t>4000kg</t>
  </si>
  <si>
    <t>12000kg</t>
  </si>
  <si>
    <t>M Nutra - Trimethyl Glycine (TMG, Betaine Anhydrous)</t>
  </si>
  <si>
    <t>Stauber - Tripotassium Citrate F6001</t>
  </si>
  <si>
    <t>Stauber - Tripotassium Citrate Monohydrate</t>
  </si>
  <si>
    <t>19000kg</t>
  </si>
  <si>
    <t>Univar Solutions - Tripotassium Citrate Monohydrate</t>
  </si>
  <si>
    <t>49.90 kg</t>
  </si>
  <si>
    <t>Stauber - Trisodium Citrate (TSC) F6000</t>
  </si>
  <si>
    <t>Univar Solutions - Trisodium Citrate Dihydrate</t>
  </si>
  <si>
    <t>True Citrus</t>
  </si>
  <si>
    <t>4.54 kg</t>
  </si>
  <si>
    <t>True Grapefruit</t>
  </si>
  <si>
    <t>True Citrus - True Grapefruit - 00-7545 (10lbs - 2x5lb)</t>
  </si>
  <si>
    <t>True Citrus - True Grapefruit - 00-7562 (50lbs - 400lb+)</t>
  </si>
  <si>
    <t>True Citrus - True Grapefruit - 00-7562 (50lbs)</t>
  </si>
  <si>
    <t>1100–2000 lb supersack (~499–907 kg)</t>
  </si>
  <si>
    <t>True Citrus - True Grapefruit - 00-9016 (1100-2000lb supersack)</t>
  </si>
  <si>
    <t>2000lbs+(907kg+)</t>
  </si>
  <si>
    <t>00-7562</t>
  </si>
  <si>
    <t>True Citrus - True Grapefruit Granular</t>
  </si>
  <si>
    <t>True Lemon</t>
  </si>
  <si>
    <t>True Citrus - True Lemon - 00-4035 (1100-2000lb supersack)</t>
  </si>
  <si>
    <t>(50lbs - 400lb+)</t>
  </si>
  <si>
    <t>True Citrus - True Lemon - 00-7524 (50lbs - 400lb+)</t>
  </si>
  <si>
    <t>50lbs</t>
  </si>
  <si>
    <t>True Citrus - True Lemon - 00-7524 (50lbs)</t>
  </si>
  <si>
    <t>10lbs</t>
  </si>
  <si>
    <t>True Citrus - True Lemon - 00-7538 (10lbs - 2x5lb)</t>
  </si>
  <si>
    <t>00-7524</t>
  </si>
  <si>
    <t>True Citrus - True Lemon Ganular</t>
  </si>
  <si>
    <t>True Lime</t>
  </si>
  <si>
    <t>True Citrus - True Lime - 00-3595 (1100-2000lb supersack)</t>
  </si>
  <si>
    <t>True Citrus - True Lime - 00-7470 (50lbs - 400lb+)</t>
  </si>
  <si>
    <t>True Citrus - True Lime - 00-7470 (50lbs)</t>
  </si>
  <si>
    <t>True Citrus - True Lime - 00-7484 (10lbs - 2x5lb)</t>
  </si>
  <si>
    <t>00-7470</t>
  </si>
  <si>
    <t>True Citrus - True Lime Granular</t>
  </si>
  <si>
    <t>00-7456</t>
  </si>
  <si>
    <t>True Citrus - True Orange Granular</t>
  </si>
  <si>
    <t>Tirlan</t>
  </si>
  <si>
    <t>720 kg</t>
  </si>
  <si>
    <t>Tirlan - Truly Grass Fedtm</t>
  </si>
  <si>
    <t>Future Ceuticals - TruServ 2g Greens Blend</t>
  </si>
  <si>
    <t>Future Ceuticals - TruServ 3g Greens Blend</t>
  </si>
  <si>
    <t>Future Ceuticals - TruServ 7g Fruit Blend</t>
  </si>
  <si>
    <t>HD Nutrition - TUDCA</t>
  </si>
  <si>
    <t>PC: CVMUWP11 Trametes versicolor</t>
  </si>
  <si>
    <t>Nammex - Turkey Tail extract</t>
  </si>
  <si>
    <t>Comext - Turkey Tail Extract 10:01</t>
  </si>
  <si>
    <t>Turkey Tail Extract 8:01</t>
  </si>
  <si>
    <t>Nammex - Turkey Tail Extract 8:01 (1 kg or 5kg packs)</t>
  </si>
  <si>
    <t>Comext Nutrition Inc. - Turmeric Extract - 4:1</t>
  </si>
  <si>
    <t>Phytochem - Turmeric Extract 95% Curcuminoids</t>
  </si>
  <si>
    <t>Phytochem - Turmeric Extract 95% Curcuminoids (Granular)</t>
  </si>
  <si>
    <t>HD Nutrition - Uridine 5’-Monophosphate Disodium Salt</t>
  </si>
  <si>
    <t>Pure Assay - Uridine 5'-monophosphate</t>
  </si>
  <si>
    <t>HD Nutrition - Urolithin A 98%</t>
  </si>
  <si>
    <t>SD Nutrition - Urolithin A 98%</t>
  </si>
  <si>
    <t>Pure Assay - Valerian Root P.E. 0.8% Valerenic Acid</t>
  </si>
  <si>
    <t>Fona - Vanilla Cream Type Flavor, NAT</t>
  </si>
  <si>
    <t>Varuna Extract - Lupeol 1.50%</t>
  </si>
  <si>
    <t>Sabinsa - Varuna Extract 1.5% (2201)</t>
  </si>
  <si>
    <t>kg</t>
  </si>
  <si>
    <t>VARUNA EXTRACT (LUPEOL 80%)</t>
  </si>
  <si>
    <t>Sabinsa - Varuna Extract 80% (2202)</t>
  </si>
  <si>
    <t>NovaNutra LLC - VasoDrive-AP</t>
  </si>
  <si>
    <t>HD Nutrition - VB5 (D-calcium Pantothenate)</t>
  </si>
  <si>
    <t>863.7kg</t>
  </si>
  <si>
    <t>Vegetable Glycerin</t>
  </si>
  <si>
    <t>ADM - Vegetable Glycerin (215.9kg drum)</t>
  </si>
  <si>
    <t>15kg to 105Kg</t>
  </si>
  <si>
    <t>Gelita - Verisol® BioActive Collagen Peptide</t>
  </si>
  <si>
    <t>120 kg to 585 kg</t>
  </si>
  <si>
    <t>600+kg</t>
  </si>
  <si>
    <t>HD Nutrition - Vine Tea Extract</t>
  </si>
  <si>
    <t>Pure Assay - Vinpocetine</t>
  </si>
  <si>
    <t>18.14kg (40 lbs)</t>
  </si>
  <si>
    <t>Vitacel Powdered Celluolose</t>
  </si>
  <si>
    <t>JRS USA - VITACEL® Powdered Cellulose L 00 (40 lb bag)</t>
  </si>
  <si>
    <t>BioNutra</t>
  </si>
  <si>
    <t>BioNutra - VitaFiber</t>
  </si>
  <si>
    <t>Pure Assay - Vitamin A Acetate 500,000 iu/g</t>
  </si>
  <si>
    <t>Pyridoxal 5-Phosphate (B6) P5P</t>
  </si>
  <si>
    <t>M Nutra - Vitamin B6 Pyridoxal-5-phosphate - 25kg pack</t>
  </si>
  <si>
    <t>Jiaherb - Vitamin B6 Pyridoxine HCl</t>
  </si>
  <si>
    <t>Folic Acid (Vit B9)</t>
  </si>
  <si>
    <t>Jiaherb - Vitamin B9 | Folic Acid</t>
  </si>
  <si>
    <t>50kjg</t>
  </si>
  <si>
    <t>Comext Nutrition Inc. - Vitamin C</t>
  </si>
  <si>
    <t>MTC Industries - Vitamin D3</t>
  </si>
  <si>
    <t>Balchem - Vitamin D3 (30%)</t>
  </si>
  <si>
    <t>Phytochem - Vitamin D3 Powder 100,000 iu/g</t>
  </si>
  <si>
    <t>Pure Assay - Vitamin D3 Powder 100,000iu/g</t>
  </si>
  <si>
    <t>M Nutra - Vitamin E Acetate (50% CWS powder)</t>
  </si>
  <si>
    <t>Pure Assay - Vitamin K1 1% Anhydrous</t>
  </si>
  <si>
    <t>Stauber - Vitamin K2</t>
  </si>
  <si>
    <t>Balchem - Vitamin K2 0.5%</t>
  </si>
  <si>
    <t>25kg Box</t>
  </si>
  <si>
    <t>Balchem - Vitamin K2 1.0%</t>
  </si>
  <si>
    <t>Balchem - Vitamin K2 1.5%</t>
  </si>
  <si>
    <t>Forward Farma - Vitamin K2 Menaquinone-K7</t>
  </si>
  <si>
    <t>LBB Specialties - Vitamin K2 MK-4 1% Beadlet</t>
  </si>
  <si>
    <t>NutriVitaShop - Vitamin K2 MK-4 1% Powder (Menatetrenone)</t>
  </si>
  <si>
    <t>Pure Assay - Vitamin K2 MK-4 1.3% Powder</t>
  </si>
  <si>
    <t>Pure Assay - Vitamin K2 MK-4 1.3% Powder (Menatetrenone)</t>
  </si>
  <si>
    <t>Nutraceutical Resource Group - Vitamin K2 MK-7</t>
  </si>
  <si>
    <t>Phytochem - Vitamin K2 MK-7 (1% powder) (1 kg, 5kg, and 25kg packs)</t>
  </si>
  <si>
    <t>M Nutra - Vitamin K2 MK-7 1% on MCC</t>
  </si>
  <si>
    <t>Stauber - VitaminK2 - K2Vital 0.2% Delta Pwd (code=26621-59542, pack size =1kg)</t>
  </si>
  <si>
    <t>Spec Sheet Vitamin D3 100k (1).pdf</t>
  </si>
  <si>
    <t>M Nutra - Vitamn D3 Powder</t>
  </si>
  <si>
    <t>OSF Flavors - Watermelon 5492B PDR</t>
  </si>
  <si>
    <t>OSF Flavors - Watermelon 6366C PDR</t>
  </si>
  <si>
    <t>OSF Flavors - Watermelon 6843B PDR 12.10</t>
  </si>
  <si>
    <t>OSF Flavors - Watermelon Flavor 3587C PDR</t>
  </si>
  <si>
    <t>OSF Flavors - Watermelon Type Nat Flavor 3604C-O PDR</t>
  </si>
  <si>
    <t>HD Nutrition - Wheat Germ Extract; Spermidine 1%</t>
  </si>
  <si>
    <t>NP Nutra - Wheatgrass</t>
  </si>
  <si>
    <t>Agropur</t>
  </si>
  <si>
    <t>Agropur - Whey Protein Concentrate</t>
  </si>
  <si>
    <t>Osage Food Products</t>
  </si>
  <si>
    <t>Osage Food Products - Whey Protein Concentrate</t>
  </si>
  <si>
    <t>Agropur - Whey Protein Isolate</t>
  </si>
  <si>
    <t>Fonterra</t>
  </si>
  <si>
    <t>Fonterra - Whey Protein Isolate</t>
  </si>
  <si>
    <t>Osage Food Products - Whey Protein Isolate</t>
  </si>
  <si>
    <t>Pure Assay - White Kidney Bean P.E. 20:1</t>
  </si>
  <si>
    <t>NP Nutra - Wild Bilberry Fruit Extract</t>
  </si>
  <si>
    <t>NP Nutra - Wild Blueberry Fruit Extract</t>
  </si>
  <si>
    <t>Jiaherb - Wolfberry (Goji) Extract | 10:1</t>
  </si>
  <si>
    <t>Arla Foods</t>
  </si>
  <si>
    <t>Arla Foods - WPC 80 inst</t>
  </si>
  <si>
    <t>Arla Foods - WPC 80 non-inst</t>
  </si>
  <si>
    <t>Comext Nutrition Inc. - Xantan Gum</t>
  </si>
  <si>
    <t>22.68kg (50lbs)</t>
  </si>
  <si>
    <t>Univar Solutions - Xanthan Gum</t>
  </si>
  <si>
    <t>Hylen</t>
  </si>
  <si>
    <t>XOS 95% Powder</t>
  </si>
  <si>
    <t>Hylen - XOS 95% Powder (25kg drum)</t>
  </si>
  <si>
    <t>MTC Industries - Xylitol</t>
  </si>
  <si>
    <t>Fifth NutriSupply - Xylitol Powder</t>
  </si>
  <si>
    <t>5MT</t>
  </si>
  <si>
    <t>Fuller Ingredients - XYLITOL(HKXC30)</t>
  </si>
  <si>
    <t>15MT</t>
  </si>
  <si>
    <t>Jiaherb - Zeaxanthin ( 5% HPLC) 25kg pack</t>
  </si>
  <si>
    <t>Zeaxanthin 5% Powder Tcp (code: 24722-57239)</t>
  </si>
  <si>
    <t>Stauber - Zeaxanthin 5% Powder Tcp (code: 24722-57239) (5kg bag)</t>
  </si>
  <si>
    <t>Pure Assay - Zinc Amino Acid Chelate 20%</t>
  </si>
  <si>
    <t>Pure Assay - Zinc Ascorbate</t>
  </si>
  <si>
    <t>Zinc Bisglycinate Chelate</t>
  </si>
  <si>
    <t>Stauber - Zinc Bisglycinate Chelate - 26588-59515 (5kg pack) (20% Zn)</t>
  </si>
  <si>
    <t>Stauber - Zinc Bisglycinate Chelate 26588-59492 (25kg bag) (20% Zn)</t>
  </si>
  <si>
    <t>Nutri Avenue - Zinc Carnosine - 25kg</t>
  </si>
  <si>
    <t>Nutri Avenue - Zinc Carnosine - 5kg</t>
  </si>
  <si>
    <t>Stauber - Zinc Citrate</t>
  </si>
  <si>
    <t>Zinc Citrate Dihydrate 24571-58973</t>
  </si>
  <si>
    <t>Stauber - Zinc Citrate Dihydrate 24571-58973 (25kg bag)</t>
  </si>
  <si>
    <t>M Nutra - Zinc Gluconate</t>
  </si>
  <si>
    <t>Pure Assay - Zinc Gluconate</t>
  </si>
  <si>
    <t>Stauber - Zinc Lactate</t>
  </si>
  <si>
    <t>Zinc Picolinate 20% Spec Sheet</t>
  </si>
  <si>
    <t>M Nutra - Zinc Picolinate 20%</t>
  </si>
  <si>
    <t>Pure Assay - Zinc Picolinate 20%</t>
  </si>
  <si>
    <t>Stauber - Zincy Bisglycinate Chelate</t>
  </si>
  <si>
    <t>NuLiv Science - Zylaria</t>
  </si>
  <si>
    <t>Iodine (from Kelp) Organic</t>
  </si>
  <si>
    <t>M Nutra - Iodine (from Kelp) Organic (25kg pack)</t>
  </si>
  <si>
    <t>M Nutra - Dicalcium Phosphate (25 kg bag)</t>
  </si>
  <si>
    <t>M Nutra - Magnesium Oxide Granular (25 kg bag)</t>
  </si>
  <si>
    <t>M Nutra - Copper Gluconate 14% (25 kg bag)</t>
  </si>
  <si>
    <t>M Nutra - Molybdenum Amino Acid Chelate 0.1% (25 kg bag)</t>
  </si>
  <si>
    <t>M Nutra - Citrus Bioflavonoids Extract 50% (25 kg drum)</t>
  </si>
  <si>
    <t>M Nutra - Citrus Bioflavonoids Extract 4:1 (25 kg drum)</t>
  </si>
  <si>
    <t>M Nutra - Policosanol 95% / Octacosanol 10% (25 kg drum)</t>
  </si>
  <si>
    <t>M Nutra - Policosanol 98% / Octacosanol 60% (25 kg drum)</t>
  </si>
  <si>
    <t>M Nutra - Croscarmellose Sodium (25 kg bag)</t>
  </si>
  <si>
    <t>Core FX Ingredients</t>
  </si>
  <si>
    <t>Core FX Ingredients - MCT Oil 70% fat load on gum acacia 150160</t>
  </si>
  <si>
    <t>Core FX Ingredients - MCT Oil 70% fat load on non-fat dry milk 150237</t>
  </si>
  <si>
    <t>Phytochem - Octacosanol 10%</t>
  </si>
  <si>
    <t>Phytochem - Citrus Bioflavonoid 50%</t>
  </si>
  <si>
    <t>75kg</t>
  </si>
  <si>
    <t>22811-54267 - Dicalcium Phosphate Anhydrous</t>
  </si>
  <si>
    <t>Stauber - Dicalcium Phosphate Anhydrous 22811-54267</t>
  </si>
  <si>
    <t>20369-50440 - Kelp Laminaria 50 Mesh Organic</t>
  </si>
  <si>
    <t>Stauber - Kelp Laminaria 50 Mesh Organic 20369-50440</t>
  </si>
  <si>
    <t>26307-58869 - Magnesium Oxide USP Powder</t>
  </si>
  <si>
    <t>Stauber - Magnesium Oxide USP Powder 26307-58869</t>
  </si>
  <si>
    <t>21343-51846 - Lemon Bioflavonoid Complex 25</t>
  </si>
  <si>
    <t>Stauber - Lemon Bioflavonoid Complex 25 21343-51846</t>
  </si>
  <si>
    <t>25365-57984 - Protease 5,000 Acid Stable</t>
  </si>
  <si>
    <t>Stauber - Protease 5,000 Acid Stable 25365-57984</t>
  </si>
  <si>
    <t>25056-57602 - Amylase 5,000 Skb/Gm</t>
  </si>
  <si>
    <t>Stauber - Amylase 5,000 Skb/Gm 25056-57602</t>
  </si>
  <si>
    <t>25051-57594 - Lipase 1,000 Fip/Gm</t>
  </si>
  <si>
    <t>Stauber - Lipase 1,000 Fip/Gm 25051-57594</t>
  </si>
  <si>
    <t>25807-58254 - Cellulase 1,000 Cu/Gm</t>
  </si>
  <si>
    <t>Stauber - Cellulase 1,000 Cu/Gm 25807-58254</t>
  </si>
  <si>
    <t>Bacillus coagulans PB-BC02 (food grade) allergen free Potency: 100 billion cfu/g</t>
  </si>
  <si>
    <t>Probioway - Bacillus coagulans PB-BC02 (food grade) allergen free Potency: 100 billion cfu/g (1kg pack)</t>
  </si>
  <si>
    <t>Lonza</t>
  </si>
  <si>
    <t>525kg -1050kg</t>
  </si>
  <si>
    <t>FiberAid</t>
  </si>
  <si>
    <t>Lonza - Prebiotic blend (FOS, Larch Arabinogalactan - FiberAidÂ®)</t>
  </si>
  <si>
    <t>1050-5250kg</t>
  </si>
  <si>
    <t>5250+</t>
  </si>
  <si>
    <t>Test</t>
  </si>
  <si>
    <t>Price</t>
  </si>
  <si>
    <t>Selected</t>
  </si>
  <si>
    <t>Uncategorized</t>
  </si>
  <si>
    <t>Aflatoxin (qualitative method)</t>
  </si>
  <si>
    <t>Almond</t>
  </si>
  <si>
    <t>Amazon Weight Loss Panel</t>
  </si>
  <si>
    <t>BCAAs (Leucine, Isoleucine, Valine)</t>
  </si>
  <si>
    <t>Beta alanine</t>
  </si>
  <si>
    <t>Beta-Lactoglobulin</t>
  </si>
  <si>
    <t>Betaine</t>
  </si>
  <si>
    <t>Brazil Nut</t>
  </si>
  <si>
    <t>Carnitine</t>
  </si>
  <si>
    <t>Casein</t>
  </si>
  <si>
    <t>Cashew/Pistachio</t>
  </si>
  <si>
    <t>Coconut</t>
  </si>
  <si>
    <t>Creatine</t>
  </si>
  <si>
    <t>Crustacea</t>
  </si>
  <si>
    <t>Egg</t>
  </si>
  <si>
    <t>Ergothioneine (L-Ergothioneine)</t>
  </si>
  <si>
    <t>Gluten</t>
  </si>
  <si>
    <t>Glycine Propionyl L-Carnitine HCL (GPLC)</t>
  </si>
  <si>
    <t>Hazelnut</t>
  </si>
  <si>
    <t>L-Alanine</t>
  </si>
  <si>
    <t>L-Arginine AKG</t>
  </si>
  <si>
    <t>L-Aspartic acid</t>
  </si>
  <si>
    <t>Lupin</t>
  </si>
  <si>
    <t>Macadamia</t>
  </si>
  <si>
    <t>Milk</t>
  </si>
  <si>
    <t>Mustard</t>
  </si>
  <si>
    <t>N-acetyl L- Carnitine</t>
  </si>
  <si>
    <t>N-acetyl L- Cysteine</t>
  </si>
  <si>
    <t>Peanut</t>
  </si>
  <si>
    <t>Sesame</t>
  </si>
  <si>
    <t>Sibutramine, Ostarine, Ligandrol, DMAA, Desmethylsibutramine Di-desmethylsibutramine, 4-DHEA N-acetyl L-Tyrosine</t>
  </si>
  <si>
    <t>Sibutramine, Phenolphthalein, Fluoxetin, Desmethylsibutramine Amazon Sexual Enhancement Panel</t>
  </si>
  <si>
    <t>Sildenafil, Vardenafil, Sulfoaildenafil, Desmethyl Carbodenafil Amazon Sports Nutrition Panel</t>
  </si>
  <si>
    <t>Soy</t>
  </si>
  <si>
    <t>Walnut</t>
  </si>
  <si>
    <t>Amino AcidsAmazon Banned Substances</t>
  </si>
  <si>
    <t>10 - 12 Amino acids</t>
  </si>
  <si>
    <t>2 Amino acids</t>
  </si>
  <si>
    <t>3 -5 Amino acids</t>
  </si>
  <si>
    <t>6 - 9 Amino acids</t>
  </si>
  <si>
    <t>FD&amp;C Blue 1 (Brilliant Blue FCF)</t>
  </si>
  <si>
    <t>FD&amp;C Red 1</t>
  </si>
  <si>
    <t>FD&amp;C Red 19 (Rhodamine B)</t>
  </si>
  <si>
    <t>FD&amp;C Red 3</t>
  </si>
  <si>
    <t>FD&amp;C Red 40 (Allura Red)</t>
  </si>
  <si>
    <t>FD&amp;C Yellow 5 (Tartrazine)</t>
  </si>
  <si>
    <t>FD&amp;C Yellow 6 (Sunset Yellow FCF)</t>
  </si>
  <si>
    <t>L-Cysteine</t>
  </si>
  <si>
    <t>L-Ornithine</t>
  </si>
  <si>
    <t>L-Proline</t>
  </si>
  <si>
    <t>L-Pyroglutamic Acid</t>
  </si>
  <si>
    <t>L-Serine</t>
  </si>
  <si>
    <t>Methylene Blue</t>
  </si>
  <si>
    <t>Propionyl L-Carnitine</t>
  </si>
  <si>
    <t>S-Acetyl-Glutathione</t>
  </si>
  <si>
    <t>S-Adenosyl L-Methionine (Adenosylmethionine, SAMe)</t>
  </si>
  <si>
    <t>Trimethylglycine (Betaine)</t>
  </si>
  <si>
    <t>Others upon request</t>
  </si>
  <si>
    <t>3-O-beta-Rutinoside</t>
  </si>
  <si>
    <t>4-aminobiphenyl</t>
  </si>
  <si>
    <t>7-O-beta-Glucoside</t>
  </si>
  <si>
    <t>Acetaldehyde</t>
  </si>
  <si>
    <t>Acetic acid</t>
  </si>
  <si>
    <t>Acrylamide</t>
  </si>
  <si>
    <t>BPA</t>
  </si>
  <si>
    <t>Biogenic amines - panel of 4</t>
  </si>
  <si>
    <t>Biogenic amines - panel of 8</t>
  </si>
  <si>
    <t>Biotin (B7)</t>
  </si>
  <si>
    <t>Caffeine</t>
  </si>
  <si>
    <t>Calcium Folinate (B9)</t>
  </si>
  <si>
    <t>Cellulose</t>
  </si>
  <si>
    <t>Citric acid</t>
  </si>
  <si>
    <t>Cobalamin (B12)</t>
  </si>
  <si>
    <t>Cyanidin</t>
  </si>
  <si>
    <t>Cyanocobalamin (B12)</t>
  </si>
  <si>
    <t>Delphinidin</t>
  </si>
  <si>
    <t>Diacetyl</t>
  </si>
  <si>
    <t>Ethanol</t>
  </si>
  <si>
    <t>Ethyl acetate</t>
  </si>
  <si>
    <t>Flavonoid panel (all of the above)</t>
  </si>
  <si>
    <t>Folic acid (B9)</t>
  </si>
  <si>
    <t>Formic Acid</t>
  </si>
  <si>
    <t>Fumaric Acid</t>
  </si>
  <si>
    <t>Glucoraphanin</t>
  </si>
  <si>
    <t>Glucuronolactone</t>
  </si>
  <si>
    <t>Glycerol</t>
  </si>
  <si>
    <t>Glyphosate/AMPA</t>
  </si>
  <si>
    <t>Isorhamnetin</t>
  </si>
  <si>
    <t>Kaempferol</t>
  </si>
  <si>
    <t>L-methylfolate (5MTHF) (B9)</t>
  </si>
  <si>
    <t>Luteolin</t>
  </si>
  <si>
    <t>Lycopene</t>
  </si>
  <si>
    <t>Melamine &amp; cyanuric acid (melamine analogue)</t>
  </si>
  <si>
    <t>Methanol</t>
  </si>
  <si>
    <t>NAA (1-Naphthylacetic acid)</t>
  </si>
  <si>
    <t>Niacin (nicotinic acid) (B3)</t>
  </si>
  <si>
    <t>Niacinamide (B3)</t>
  </si>
  <si>
    <t>Nicotinamide Riboside (Nicotinamide Riboside Chloride) (B3)</t>
  </si>
  <si>
    <t>Organic acids: acetic acid &amp; citric acid</t>
  </si>
  <si>
    <t>Orientin</t>
  </si>
  <si>
    <t>Pantothenic acid (B5)</t>
  </si>
  <si>
    <t>Peonidin</t>
  </si>
  <si>
    <t>Pesticide Screening (572 Compounds)</t>
  </si>
  <si>
    <t>Propylene glycol</t>
  </si>
  <si>
    <t>Pyridoxal 5'-Phosphate (B6)</t>
  </si>
  <si>
    <t>Pyridoxine HCl (B6)</t>
  </si>
  <si>
    <t>Quercetin</t>
  </si>
  <si>
    <t>Riboflavin (B2)</t>
  </si>
  <si>
    <t>Riboflavin 5-phosphate (B2)</t>
  </si>
  <si>
    <t>Silybin</t>
  </si>
  <si>
    <t>Sulforaphane</t>
  </si>
  <si>
    <t>Tartaric Acid (Tartrate)</t>
  </si>
  <si>
    <t>Test Turnaround Time Method PriceBeverage &amp; Food IngredientsOther Vitamins Flavonoids Apigenin</t>
  </si>
  <si>
    <t>Theanine</t>
  </si>
  <si>
    <t>Thiamin (B1)</t>
  </si>
  <si>
    <t>Vanillin</t>
  </si>
  <si>
    <t>Vitamin A (Acetate)</t>
  </si>
  <si>
    <t>Vitamin A (Alpha Carotene)</t>
  </si>
  <si>
    <t>Vitamin A (Beta Carotene and Retinyl Acetate)</t>
  </si>
  <si>
    <t>Vitamin A (Beta Carotene)</t>
  </si>
  <si>
    <t>Vitamin A (Retinol)</t>
  </si>
  <si>
    <t>Vitamin A (Retinyl Acetate)</t>
  </si>
  <si>
    <t>Vitamin A (Retinyl Palmitate)</t>
  </si>
  <si>
    <t>Vitamin C (Ascorbic acid)</t>
  </si>
  <si>
    <t>Vitamin D2</t>
  </si>
  <si>
    <t>Vitamin D3 (cholecalciferol)</t>
  </si>
  <si>
    <t>Vitamin E (Alpha Tocopherols)</t>
  </si>
  <si>
    <t>Vitamin E (Beta Tocopherols)</t>
  </si>
  <si>
    <t>Vitamin E (Delta Tocopherols)</t>
  </si>
  <si>
    <t>Vitamin E (Delta Tocotrienol)</t>
  </si>
  <si>
    <t>Vitamin E (Gamma Tocopherols)</t>
  </si>
  <si>
    <t>Vitamin E (Gamma Tocotrienol)</t>
  </si>
  <si>
    <t>Vitamin E (Mixed Tocopherols)</t>
  </si>
  <si>
    <t>Vitamin E (Natural Products)</t>
  </si>
  <si>
    <t>Vitamin E (Synthetic)</t>
  </si>
  <si>
    <t>Vitamin E (Total Tocotrienol)</t>
  </si>
  <si>
    <t>Vitamin E Acetate (Alpha Tocopherol Acetate)</t>
  </si>
  <si>
    <t>Vitamin K1 (synthetic)</t>
  </si>
  <si>
    <t>Vitamin K2 (MK-7 or Menaquionone 7)</t>
  </si>
  <si>
    <t>Vitamin K2 (synthetic)</t>
  </si>
  <si>
    <t>Vitamin K3 (synthetic)</t>
  </si>
  <si>
    <t>Vitexin</t>
  </si>
  <si>
    <t>Xanthohumol</t>
  </si>
  <si>
    <t>p‑Cresidine</t>
  </si>
  <si>
    <t>Residual solvent panel</t>
  </si>
  <si>
    <t>(1,2-Dichloroethane, Acetone, Acetonitrile, Benzene, Butane, Chloroform, Ethanol, Ethyl acetate, Ethyl ether, Ethylene oxide, Heptane, Isopropanol, Methanol, Methylene chloride, n-Hexane, Pentane, Propane, Toluene, Trichloroethene, Xylenes)8-9 Days LC-MS/MS</t>
  </si>
  <si>
    <t>2 Days</t>
  </si>
  <si>
    <t>3 - 4 Minerals</t>
  </si>
  <si>
    <t>5 - 6 Minerals</t>
  </si>
  <si>
    <t>5-7 Days1 Day</t>
  </si>
  <si>
    <t>7 - 8 Minerals</t>
  </si>
  <si>
    <t>9- 10 Minerals</t>
  </si>
  <si>
    <t>Adenosine</t>
  </si>
  <si>
    <t>Aflatoxins (B1, B2, G1, G2)</t>
  </si>
  <si>
    <t>Aflatoxins (B1, B2, G1, G2) + Ochratoxin A</t>
  </si>
  <si>
    <t>Aluminum</t>
  </si>
  <si>
    <t>Antimony</t>
  </si>
  <si>
    <t>Arsenic - Inorganic</t>
  </si>
  <si>
    <t>Arsenic - Inorganic, organic, and total</t>
  </si>
  <si>
    <t>Arsenic - Total</t>
  </si>
  <si>
    <t>Bacillus cereus - DL 1.02</t>
  </si>
  <si>
    <t>Barium</t>
  </si>
  <si>
    <t>Beryllium</t>
  </si>
  <si>
    <t>Beta glucan</t>
  </si>
  <si>
    <t>Bile-Tolerant Gram-Negative Bacteria - USP &lt;62&gt;</t>
  </si>
  <si>
    <t>Burkholderia cepacia complex - USP &lt;60&gt;</t>
  </si>
  <si>
    <t>Calcium</t>
  </si>
  <si>
    <t>Candida albicans - USP &lt;62&gt;</t>
  </si>
  <si>
    <t>Chloride</t>
  </si>
  <si>
    <t>Chromium</t>
  </si>
  <si>
    <t>Clostridia USP - USP &lt;62&gt;</t>
  </si>
  <si>
    <t>Clostridium spp. - USP &lt;2022&gt;</t>
  </si>
  <si>
    <t>Cobalt</t>
  </si>
  <si>
    <t>Coliform - AOAC-RI 050601</t>
  </si>
  <si>
    <t>Copper</t>
  </si>
  <si>
    <t>Cordycepic acid</t>
  </si>
  <si>
    <t>Cordycepin</t>
  </si>
  <si>
    <t>Cordyceps Mushroom botanical ID (outsourced)</t>
  </si>
  <si>
    <t>Enterorococcus spp. - DL 1.02</t>
  </si>
  <si>
    <t>Erinacines (Erinacine A)</t>
  </si>
  <si>
    <t>Escherichia coli - AOAC-RI 050601</t>
  </si>
  <si>
    <t>Escherichia coli - USP &lt;2022&gt;</t>
  </si>
  <si>
    <t>Escherichia coli - USP &lt;62&gt;</t>
  </si>
  <si>
    <t>Escherichia coli O157:H7 - AOAC-RI 090501</t>
  </si>
  <si>
    <t>Fecal Coliform - SMEWW 9223</t>
  </si>
  <si>
    <t>Gallium</t>
  </si>
  <si>
    <t>Heterotrophic Plate Count - SM 9215</t>
  </si>
  <si>
    <t>Iron</t>
  </si>
  <si>
    <t>Lead</t>
  </si>
  <si>
    <t>Listeria monocytogenes - AFNOR AES 10-03-09-00</t>
  </si>
  <si>
    <t>Listeria spp. - AFNOR AES 10-03-09-00</t>
  </si>
  <si>
    <t>Lithium</t>
  </si>
  <si>
    <t>Magnesium</t>
  </si>
  <si>
    <t>Maitake Mushroom botanical ID (outsourced)</t>
  </si>
  <si>
    <t>Manganese</t>
  </si>
  <si>
    <t>Mercury</t>
  </si>
  <si>
    <t>Metals and Minerals (Panel of 29)</t>
  </si>
  <si>
    <t>Nickel</t>
  </si>
  <si>
    <t>Nucleoside panel (Uridine + Adenosine)</t>
  </si>
  <si>
    <t>Ochratoxin A</t>
  </si>
  <si>
    <t>Potassium</t>
  </si>
  <si>
    <t>Potency by HPLC (Mitragynine and 7-Hydroxymitragynine)8-9 DaysHPLC</t>
  </si>
  <si>
    <t>Potency by LC-MS/MS (Mitragynine, 7-Hydroxymitragynine, Ajmalacine, Mitraphylline)</t>
  </si>
  <si>
    <t>Pseudomonas aeruginosa - USP &lt;62&gt;</t>
  </si>
  <si>
    <t>Rapid Aerobic Plate Count - AOAC 2015.13</t>
  </si>
  <si>
    <t>Salmonella spp. - AOAC 020502</t>
  </si>
  <si>
    <t>Salmonella spp. - USP &lt;2022&gt;</t>
  </si>
  <si>
    <t>Salmonella spp. - USP &lt;62&gt;</t>
  </si>
  <si>
    <t>Selenium</t>
  </si>
  <si>
    <t>Shiittake Mushroom botanical ID (outsourced)</t>
  </si>
  <si>
    <t>Silver</t>
  </si>
  <si>
    <t>Smoke taint testing</t>
  </si>
  <si>
    <t>Sodium</t>
  </si>
  <si>
    <t>Staphylococcus aureus - AOAC-RI 100503</t>
  </si>
  <si>
    <t>Staphylococcus aureus - USP &lt;2022&gt;</t>
  </si>
  <si>
    <t>Staphylococcus aureus - USP &lt;62&gt;</t>
  </si>
  <si>
    <t>Starch - qualitative</t>
  </si>
  <si>
    <t>Starch - quantitative</t>
  </si>
  <si>
    <t>TBHQ</t>
  </si>
  <si>
    <t>Thallium</t>
  </si>
  <si>
    <t>Titanium</t>
  </si>
  <si>
    <t>Total Anaerobic Plate Count - CMMEF 5th 6.7</t>
  </si>
  <si>
    <t>Total Coliform Count - AOAC 991.14</t>
  </si>
  <si>
    <t>Total Coliform Count - USP &lt;2021&gt; modifed</t>
  </si>
  <si>
    <t>Total Coliform Count - USP &lt;61&gt; modified</t>
  </si>
  <si>
    <t>Total Enterobacteriaceae Count - AOAC 2003.01</t>
  </si>
  <si>
    <t>Total Enterobacteriaceae Count - USP &lt;2021&gt; modifed</t>
  </si>
  <si>
    <t>Total Enterobacteriaceae Count - USP &lt;61&gt; modified</t>
  </si>
  <si>
    <t>Total Escherichia coli Count - AOAC 991.14</t>
  </si>
  <si>
    <t>Total Lactic Acid Bacteria Count - CMMEF 5th 19.52</t>
  </si>
  <si>
    <t>Total Legionella spp. - CDC Legionella</t>
  </si>
  <si>
    <t>Total Mold Count - AOAC 2014.05</t>
  </si>
  <si>
    <t>Total Mold Count - USP &lt;2021&gt;</t>
  </si>
  <si>
    <t>Total Mold Count - USP &lt;61&gt;</t>
  </si>
  <si>
    <t>Total Plate Count - AOAC 990.12</t>
  </si>
  <si>
    <t>Total Plate Count - USP &lt;2021&gt;</t>
  </si>
  <si>
    <t>Total Plate Count - USP &lt;61&gt;</t>
  </si>
  <si>
    <t>Total Yeast Count - AOAC 2014.05</t>
  </si>
  <si>
    <t>Total Yeast Count - USP &lt;2021&gt;</t>
  </si>
  <si>
    <t>Total Yeast Count - USP &lt;61&gt;</t>
  </si>
  <si>
    <t>Trimethylamine</t>
  </si>
  <si>
    <t>USP &lt;1227&gt; Validation of Microbial Recovery Varies Bile-Tolerant Gram-Negative Bacteria - USP &lt;2021&gt;</t>
  </si>
  <si>
    <t>USP &lt;51&gt; Antimicrobial Effectiveness Testing</t>
  </si>
  <si>
    <t>Vanadium</t>
  </si>
  <si>
    <t>Zinc</t>
  </si>
  <si>
    <t>Cannabinoids</t>
  </si>
  <si>
    <t>(THC, THCa, CBD, CBDa, CBN, CBG, CBGa, CBDV, THCV, d8-THC, CBC)8-9 DaysHPLC</t>
  </si>
  <si>
    <t>*for investigations of false positives by standard methods Cholesterol</t>
  </si>
  <si>
    <t>Artifical sweeteners (Ace K, Saccharin, Sucralose)</t>
  </si>
  <si>
    <t>Artificial Sweeteners (Alitame, Neotame, Cyclamate)</t>
  </si>
  <si>
    <t>Benzoic acid (sodium benzoate)</t>
  </si>
  <si>
    <t>Butylated hydroxytoluene (BHT)</t>
  </si>
  <si>
    <t>Density</t>
  </si>
  <si>
    <t>Fat</t>
  </si>
  <si>
    <t>Fat, Protein, Carbs</t>
  </si>
  <si>
    <t>Fiber - Soluble and Insoluble</t>
  </si>
  <si>
    <t>Fiber - Soluble and Insoluble -Rapid</t>
  </si>
  <si>
    <t>Fiber - Total Dietary</t>
  </si>
  <si>
    <t>Free fatty acids</t>
  </si>
  <si>
    <t>Glucose</t>
  </si>
  <si>
    <t>Lactose</t>
  </si>
  <si>
    <t>Moisture</t>
  </si>
  <si>
    <t>Nitrite</t>
  </si>
  <si>
    <t>Peroxide value</t>
  </si>
  <si>
    <t>Preservative panel (benzoate, sorbate)</t>
  </si>
  <si>
    <t>Preservative panel (benzoate, sorbate, metabisulfite)</t>
  </si>
  <si>
    <t>Protein</t>
  </si>
  <si>
    <t>Solids</t>
  </si>
  <si>
    <t>Sorbic acid (potassium sorbate)</t>
  </si>
  <si>
    <t>Specific Gravity</t>
  </si>
  <si>
    <t>Stevia glycosides contact us LC-MS/MS Various Xylose</t>
  </si>
  <si>
    <t>Sucrose</t>
  </si>
  <si>
    <t>Sugar Profile</t>
  </si>
  <si>
    <t>Sugar profile</t>
  </si>
  <si>
    <t>Sulfite by LC-MS/MS*</t>
  </si>
  <si>
    <t>Titratable acidity</t>
  </si>
  <si>
    <t>Total Sugars</t>
  </si>
  <si>
    <t>Viscocity</t>
  </si>
  <si>
    <t>Water activity</t>
  </si>
  <si>
    <t>pH</t>
  </si>
  <si>
    <t>Supplements</t>
  </si>
  <si>
    <t>3’,3’-Diindolylmethane (DIM)</t>
  </si>
  <si>
    <t>5-O-Caffeoylquinic Acid</t>
  </si>
  <si>
    <t>5HTP</t>
  </si>
  <si>
    <t>Anandamide</t>
  </si>
  <si>
    <t>Arachidonic Acid</t>
  </si>
  <si>
    <t>Ascorbyl Palmitate</t>
  </si>
  <si>
    <t>Ashwaganda</t>
  </si>
  <si>
    <t>Astaxanthin (free and esters) - from natural sources</t>
  </si>
  <si>
    <t>Astaxanthin (synthetic)</t>
  </si>
  <si>
    <t>Berberine</t>
  </si>
  <si>
    <t>Bergamot Essential oil</t>
  </si>
  <si>
    <t>Bioperine</t>
  </si>
  <si>
    <t>Borneol</t>
  </si>
  <si>
    <t>Butyric Acid</t>
  </si>
  <si>
    <t>Calcium HMB (CaHMB)</t>
  </si>
  <si>
    <t>Camphene</t>
  </si>
  <si>
    <t>Carvacrol</t>
  </si>
  <si>
    <t>Chlorogenic acids</t>
  </si>
  <si>
    <t>Choline</t>
  </si>
  <si>
    <t>Chondroitin sulfate</t>
  </si>
  <si>
    <t>Cinnamaldehyde</t>
  </si>
  <si>
    <t>Cinnamon Identity Test</t>
  </si>
  <si>
    <t>Citicoline</t>
  </si>
  <si>
    <t>Cordycepic Acid</t>
  </si>
  <si>
    <t>Curcuminoids</t>
  </si>
  <si>
    <t>DHA &amp; EPA</t>
  </si>
  <si>
    <t>DHA (Docosahexaenoic Acid)</t>
  </si>
  <si>
    <t>DMAE (2-dimethylaminoethanol)</t>
  </si>
  <si>
    <t>Dehydroepiandrosterine (DHEA)</t>
  </si>
  <si>
    <t>Diosmin</t>
  </si>
  <si>
    <t>EPA (Eicosapentaenoic Acid)</t>
  </si>
  <si>
    <t>Epigallocatechin-3-gallate (EGCG)</t>
  </si>
  <si>
    <t>Eucalyptol</t>
  </si>
  <si>
    <t>Fenugreek</t>
  </si>
  <si>
    <t>Gamma-Linolenic Acid</t>
  </si>
  <si>
    <t>Geraniol</t>
  </si>
  <si>
    <t>Gingerol panel</t>
  </si>
  <si>
    <t>Gingko biloba</t>
  </si>
  <si>
    <t>Ginseng</t>
  </si>
  <si>
    <t>Ginsenosides (Rb1,Rb2,Rc,Rd,Re,Rf,Rg1,Rg2)</t>
  </si>
  <si>
    <t>Glucosamine</t>
  </si>
  <si>
    <t>Glutathione (reduced)</t>
  </si>
  <si>
    <t>Glycosides: Quercetin, Kaempferol, Isorhamnetin</t>
  </si>
  <si>
    <t>Glycyrrhizic acid</t>
  </si>
  <si>
    <t>HICA (2-Hydroxyisocaproic Acid)</t>
  </si>
  <si>
    <t>Hesperidin</t>
  </si>
  <si>
    <t>Hordenine</t>
  </si>
  <si>
    <t>Huperzine A</t>
  </si>
  <si>
    <t>Lutein</t>
  </si>
  <si>
    <t>Methylsulfonylmethane (MSM)</t>
  </si>
  <si>
    <t>N,N-Dimethylphenethylamine (N,N-DMPEA)</t>
  </si>
  <si>
    <t>NAD</t>
  </si>
  <si>
    <t>Nicotinamide mononucleotide (NMN)</t>
  </si>
  <si>
    <t>Nicotinamide riboside</t>
  </si>
  <si>
    <t>Nucleoside Panel: Uridine + Adenosine</t>
  </si>
  <si>
    <t>Oleuropein</t>
  </si>
  <si>
    <t>Orange Essential oil</t>
  </si>
  <si>
    <t>Peppermint</t>
  </si>
  <si>
    <t>Phosphatidylcholine</t>
  </si>
  <si>
    <t>Phosphatidylserine</t>
  </si>
  <si>
    <t>Piperine (Bioperine)</t>
  </si>
  <si>
    <t>Polydatin</t>
  </si>
  <si>
    <t>S-Acetyl Glutathione</t>
  </si>
  <si>
    <t>S-Adenosyl L-Methionine (SAMe)</t>
  </si>
  <si>
    <t>Sennosides</t>
  </si>
  <si>
    <t>Spearmint Essential Oil</t>
  </si>
  <si>
    <t>Spermidine</t>
  </si>
  <si>
    <t>Squalane</t>
  </si>
  <si>
    <t>Stability Testing (25°C and 40 °C) Varies Varies Varies Anethole</t>
  </si>
  <si>
    <t>Sulforophane</t>
  </si>
  <si>
    <t>Synephrine</t>
  </si>
  <si>
    <t>Tetrahydrocurcumin</t>
  </si>
  <si>
    <t>Thin Layer Chromatography</t>
  </si>
  <si>
    <t>Thymoquinone</t>
  </si>
  <si>
    <t>Total Polyphenols</t>
  </si>
  <si>
    <t>Trans Cinnamaldehyde (TCA)</t>
  </si>
  <si>
    <t>Turkey Tail botanical ID (outsourced)</t>
  </si>
  <si>
    <t>Turmeric</t>
  </si>
  <si>
    <t>Urolithin A</t>
  </si>
  <si>
    <t>Yohimbine</t>
  </si>
  <si>
    <t>Zingerone</t>
  </si>
  <si>
    <t>ß-Caryophyllene</t>
  </si>
  <si>
    <t>α-Cedrene</t>
  </si>
  <si>
    <t>Terpene Testing</t>
  </si>
  <si>
    <t>Humulene</t>
  </si>
  <si>
    <t>Linalool</t>
  </si>
  <si>
    <t>Menthol</t>
  </si>
  <si>
    <t>Nerolidol</t>
  </si>
  <si>
    <t>Ocimene</t>
  </si>
  <si>
    <t>ß-Pinene</t>
  </si>
  <si>
    <t>α-Pinene</t>
  </si>
  <si>
    <t>δ-Limonene</t>
  </si>
  <si>
    <t>Others available upon request</t>
  </si>
  <si>
    <t>Chlorine</t>
  </si>
  <si>
    <t>Colitag (Coliform and E. coli)</t>
  </si>
  <si>
    <t>Nitrates</t>
  </si>
  <si>
    <t>Phosphates</t>
  </si>
  <si>
    <t>Subtotal (Selected)</t>
  </si>
  <si>
    <t>10% Markup</t>
  </si>
  <si>
    <t>Shipping</t>
  </si>
  <si>
    <t>Grand Total</t>
  </si>
  <si>
    <t>Quote</t>
  </si>
  <si>
    <t>Submitted on //2025</t>
  </si>
  <si>
    <t>Quote for</t>
  </si>
  <si>
    <t>Quote #</t>
  </si>
  <si>
    <t>Project</t>
  </si>
  <si>
    <t>Description</t>
  </si>
  <si>
    <t>Unit price</t>
  </si>
  <si>
    <t>Total price</t>
  </si>
  <si>
    <t>Notes:</t>
  </si>
  <si>
    <t>Subtotal</t>
  </si>
  <si>
    <t>Adjustments</t>
  </si>
  <si>
    <t>Disclaimer of Warranty. 
  Steuart Nutrition (“Seller”) warrants that all products manufactured by Seller shall, at the time of sale, comply with applicable Seller specifications included on price quotes and purchase orders, if any. All Specifications must be outlined in PO or a Specification Document that is approved by Selller. All packaging-related artwork fees will be billed to the customer in cases where Steuart Nutrition is covering packaging costs. All products not manufactured by Seller are sold only with the warranties provided by the manufacturer of products, if any. ALL PRODUCTS SOLD AS-IS, WITH ALL FAULTS. SELLER MAKES NO OTHER WARRANTY WITH RESPECT TO THE PRODUCTS, AND DISCLAIMS ANY AND ALL WARRANTIES, EXPRESS OR IMPLIED, INCLUDING THE IMPLIED WARRANTIES OF MERCHANTABILITY AND FITNESS FOR A PARTICULAR PURPOSE.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</si>
</sst>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m/d/yyyy"/>
  </numFmts>
  <fonts count="33">
    <font>
      <sz val="10.0"/>
      <color rgb="FF000000"/>
      <name val="Arial"/>
      <scheme val="minor"/>
    </font>
    <font>
      <b/>
      <sz val="11.0"/>
      <color rgb="FF000000"/>
      <name val="Arial"/>
    </font>
    <font>
      <color rgb="FF000000"/>
      <name val="Arial"/>
    </font>
    <font>
      <color theme="1"/>
      <name val="Arial"/>
      <scheme val="minor"/>
    </font>
    <font>
      <b/>
      <color rgb="FF000000"/>
      <name val="Arial"/>
    </font>
    <font>
      <b/>
      <color rgb="FFFFFFFF"/>
      <name val="Arial"/>
    </font>
    <font>
      <color rgb="FFFFFFFF"/>
      <name val="Arial"/>
    </font>
    <font>
      <b/>
      <sz val="24.0"/>
      <color rgb="FF000000"/>
      <name val="Arial"/>
    </font>
    <font>
      <b/>
      <sz val="14.0"/>
      <color rgb="FF000000"/>
      <name val="Arial"/>
    </font>
    <font>
      <b/>
      <sz val="11.0"/>
      <color theme="1"/>
      <name val="Calibri"/>
    </font>
    <font>
      <sz val="11.0"/>
      <color rgb="FF000000"/>
      <name val="Calibri"/>
    </font>
    <font>
      <i/>
      <color rgb="FF000000"/>
      <name val="Arial"/>
    </font>
    <font>
      <color theme="1"/>
      <name val="Roboto"/>
    </font>
    <font>
      <color rgb="FF666666"/>
      <name val="Roboto"/>
    </font>
    <font>
      <color theme="1"/>
      <name val="Arial"/>
    </font>
    <font>
      <sz val="20.0"/>
      <color rgb="FF6D64E8"/>
      <name val="Roboto"/>
    </font>
    <font>
      <color rgb="FF6D64E8"/>
      <name val="Roboto"/>
    </font>
    <font>
      <b/>
      <sz val="33.0"/>
      <color rgb="FF283592"/>
      <name val="Roboto"/>
    </font>
    <font>
      <b/>
      <sz val="12.0"/>
      <color rgb="FFE01B84"/>
      <name val="Roboto"/>
    </font>
    <font>
      <sz val="13.0"/>
      <color theme="1"/>
      <name val="Roboto"/>
    </font>
    <font>
      <b/>
      <sz val="12.0"/>
      <color rgb="FF434343"/>
      <name val="Roboto"/>
    </font>
    <font/>
    <font>
      <b/>
      <sz val="12.0"/>
      <color rgb="FF2A3990"/>
      <name val="Roboto"/>
    </font>
    <font>
      <color rgb="FF000000"/>
      <name val="Roboto"/>
    </font>
    <font>
      <sz val="14.0"/>
      <color theme="1"/>
      <name val="Roboto"/>
    </font>
    <font>
      <color rgb="FF999999"/>
      <name val="Roboto"/>
    </font>
    <font>
      <color rgb="FF2A3990"/>
      <name val="Roboto"/>
    </font>
    <font>
      <b/>
      <color rgb="FF000000"/>
      <name val="Roboto"/>
    </font>
    <font>
      <color rgb="FF434343"/>
      <name val="Roboto"/>
    </font>
    <font>
      <b/>
      <color rgb="FF666666"/>
      <name val="Roboto"/>
    </font>
    <font>
      <sz val="18.0"/>
      <color theme="1"/>
      <name val="Roboto"/>
    </font>
    <font>
      <b/>
      <sz val="20.0"/>
      <color rgb="FFE01B84"/>
      <name val="Roboto"/>
    </font>
    <font>
      <sz val="8.0"/>
      <color rgb="FF000000"/>
      <name val="Roboto"/>
    </font>
  </fonts>
  <fills count="16">
    <fill>
      <patternFill patternType="none"/>
    </fill>
    <fill>
      <patternFill patternType="lightGray"/>
    </fill>
    <fill>
      <patternFill patternType="solid">
        <fgColor rgb="FFFFE599"/>
        <bgColor rgb="FFFFE599"/>
      </patternFill>
    </fill>
    <fill>
      <patternFill patternType="solid">
        <fgColor rgb="FFEA9999"/>
        <bgColor rgb="FFEA9999"/>
      </patternFill>
    </fill>
    <fill>
      <patternFill patternType="solid">
        <fgColor rgb="FFFFFF00"/>
        <bgColor rgb="FFFFFF00"/>
      </patternFill>
    </fill>
    <fill>
      <patternFill patternType="solid">
        <fgColor rgb="FF00FF00"/>
        <bgColor rgb="FF00FF00"/>
      </patternFill>
    </fill>
    <fill>
      <patternFill patternType="solid">
        <fgColor rgb="FFA4C2F4"/>
        <bgColor rgb="FFA4C2F4"/>
      </patternFill>
    </fill>
    <fill>
      <patternFill patternType="solid">
        <fgColor rgb="FFD9D9D9"/>
        <bgColor rgb="FFD9D9D9"/>
      </patternFill>
    </fill>
    <fill>
      <patternFill patternType="solid">
        <fgColor rgb="FFFFC000"/>
        <bgColor rgb="FFFFC000"/>
      </patternFill>
    </fill>
    <fill>
      <patternFill patternType="solid">
        <fgColor rgb="FFEFEFEF"/>
        <bgColor rgb="FFEFEFEF"/>
      </patternFill>
    </fill>
    <fill>
      <patternFill patternType="solid">
        <fgColor rgb="FF808080"/>
        <bgColor rgb="FF808080"/>
      </patternFill>
    </fill>
    <fill>
      <patternFill patternType="solid">
        <fgColor rgb="FFA6A6A6"/>
        <bgColor rgb="FFA6A6A6"/>
      </patternFill>
    </fill>
    <fill>
      <patternFill patternType="solid">
        <fgColor rgb="FFFFFFFF"/>
        <bgColor rgb="FFFFFFFF"/>
      </patternFill>
    </fill>
    <fill>
      <patternFill patternType="solid">
        <fgColor rgb="FFF2F2F2"/>
        <bgColor rgb="FFF2F2F2"/>
      </patternFill>
    </fill>
    <fill>
      <patternFill patternType="solid">
        <fgColor rgb="FF283592"/>
        <bgColor rgb="FF283592"/>
      </patternFill>
    </fill>
    <fill>
      <patternFill patternType="solid">
        <fgColor rgb="FFF3F3F3"/>
        <bgColor rgb="FFF3F3F3"/>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B7B7B7"/>
      </bottom>
    </border>
    <border>
      <top style="thin">
        <color rgb="FFB7B7B7"/>
      </top>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1" numFmtId="0" xfId="0" applyAlignment="1" applyBorder="1" applyFont="1">
      <alignment horizontal="center" readingOrder="0"/>
    </xf>
    <xf borderId="1" fillId="0" fontId="1" numFmtId="0" xfId="0" applyAlignment="1" applyBorder="1" applyFont="1">
      <alignment vertical="bottom"/>
    </xf>
    <xf borderId="0" fillId="0" fontId="2" numFmtId="0" xfId="0" applyAlignment="1" applyFont="1">
      <alignment readingOrder="0" vertical="bottom"/>
    </xf>
    <xf borderId="1" fillId="0" fontId="2" numFmtId="0" xfId="0" applyAlignment="1" applyBorder="1" applyFont="1">
      <alignment horizontal="center" readingOrder="0"/>
    </xf>
    <xf borderId="1" fillId="0" fontId="2" numFmtId="164" xfId="0" applyAlignment="1" applyBorder="1" applyFont="1" applyNumberFormat="1">
      <alignment readingOrder="0" vertical="bottom"/>
    </xf>
    <xf borderId="1" fillId="0" fontId="2" numFmtId="0" xfId="0" applyAlignment="1" applyBorder="1" applyFont="1">
      <alignment readingOrder="0" vertical="bottom"/>
    </xf>
    <xf borderId="0" fillId="2" fontId="1" numFmtId="0" xfId="0" applyAlignment="1" applyFill="1" applyFont="1">
      <alignment horizontal="center"/>
    </xf>
    <xf borderId="0" fillId="3" fontId="1" numFmtId="0" xfId="0" applyAlignment="1" applyFill="1" applyFont="1">
      <alignment horizontal="center"/>
    </xf>
    <xf borderId="0" fillId="2" fontId="2" numFmtId="164" xfId="0" applyAlignment="1" applyFont="1" applyNumberFormat="1">
      <alignment horizontal="center"/>
    </xf>
    <xf borderId="0" fillId="3" fontId="2" numFmtId="0" xfId="0" applyAlignment="1" applyFont="1">
      <alignment vertical="bottom"/>
    </xf>
    <xf borderId="0" fillId="2" fontId="2" numFmtId="164" xfId="0" applyAlignment="1" applyFont="1" applyNumberFormat="1">
      <alignment vertical="bottom"/>
    </xf>
    <xf borderId="0" fillId="2" fontId="2" numFmtId="0" xfId="0" applyAlignment="1" applyFont="1">
      <alignment readingOrder="0" vertical="bottom"/>
    </xf>
    <xf borderId="0" fillId="0" fontId="2" numFmtId="0" xfId="0" applyAlignment="1" applyFont="1">
      <alignment vertical="bottom"/>
    </xf>
    <xf borderId="0" fillId="0" fontId="2" numFmtId="164" xfId="0" applyAlignment="1" applyFont="1" applyNumberFormat="1">
      <alignment horizontal="right" readingOrder="0" vertical="bottom"/>
    </xf>
    <xf borderId="1" fillId="0" fontId="2" numFmtId="0" xfId="0" applyAlignment="1" applyBorder="1" applyFont="1">
      <alignment vertical="bottom"/>
    </xf>
    <xf borderId="0" fillId="0" fontId="1" numFmtId="0" xfId="0" applyAlignment="1" applyFont="1">
      <alignment horizontal="center"/>
    </xf>
    <xf borderId="0" fillId="0" fontId="2" numFmtId="0" xfId="0" applyAlignment="1" applyFont="1">
      <alignment horizontal="center"/>
    </xf>
    <xf borderId="1" fillId="0" fontId="2" numFmtId="164" xfId="0" applyAlignment="1" applyBorder="1" applyFont="1" applyNumberFormat="1">
      <alignment vertical="bottom"/>
    </xf>
    <xf borderId="1" fillId="0" fontId="2" numFmtId="0" xfId="0" applyAlignment="1" applyBorder="1" applyFont="1">
      <alignment vertical="bottom"/>
    </xf>
    <xf borderId="0" fillId="0" fontId="1" numFmtId="0" xfId="0" applyAlignment="1" applyFont="1">
      <alignment horizontal="center" readingOrder="0"/>
    </xf>
    <xf borderId="0" fillId="0" fontId="1" numFmtId="9" xfId="0" applyAlignment="1" applyFont="1" applyNumberFormat="1">
      <alignment horizontal="center" readingOrder="0"/>
    </xf>
    <xf borderId="0" fillId="0" fontId="2" numFmtId="0" xfId="0" applyFont="1"/>
    <xf borderId="0" fillId="0" fontId="2" numFmtId="0" xfId="0" applyAlignment="1" applyFont="1">
      <alignment horizontal="center" vertical="bottom"/>
    </xf>
    <xf borderId="0" fillId="0" fontId="3" numFmtId="0" xfId="0" applyAlignment="1" applyFont="1">
      <alignment readingOrder="0"/>
    </xf>
    <xf borderId="0" fillId="0" fontId="3" numFmtId="9" xfId="0" applyAlignment="1" applyFont="1" applyNumberFormat="1">
      <alignment readingOrder="0"/>
    </xf>
    <xf borderId="1" fillId="0" fontId="4" numFmtId="0" xfId="0" applyAlignment="1" applyBorder="1" applyFont="1">
      <alignment readingOrder="0" vertical="bottom"/>
    </xf>
    <xf borderId="1" fillId="0" fontId="4" numFmtId="0" xfId="0" applyAlignment="1" applyBorder="1" applyFont="1">
      <alignment vertical="bottom"/>
    </xf>
    <xf borderId="0" fillId="0" fontId="4" numFmtId="0" xfId="0" applyAlignment="1" applyFont="1">
      <alignment vertical="bottom"/>
    </xf>
    <xf borderId="1" fillId="0" fontId="2" numFmtId="0" xfId="0" applyAlignment="1" applyBorder="1" applyFont="1">
      <alignment readingOrder="0" vertical="bottom"/>
    </xf>
    <xf borderId="1" fillId="4" fontId="2" numFmtId="164" xfId="0" applyAlignment="1" applyBorder="1" applyFill="1" applyFont="1" applyNumberFormat="1">
      <alignment horizontal="right" readingOrder="0" vertical="bottom"/>
    </xf>
    <xf borderId="1" fillId="3" fontId="2" numFmtId="0" xfId="0" applyAlignment="1" applyBorder="1" applyFont="1">
      <alignment readingOrder="0" vertical="bottom"/>
    </xf>
    <xf borderId="1" fillId="3" fontId="2" numFmtId="0" xfId="0" applyAlignment="1" applyBorder="1" applyFont="1">
      <alignment horizontal="right" readingOrder="0" vertical="bottom"/>
    </xf>
    <xf borderId="1" fillId="2" fontId="2" numFmtId="0" xfId="0" applyAlignment="1" applyBorder="1" applyFont="1">
      <alignment horizontal="right" readingOrder="0" vertical="bottom"/>
    </xf>
    <xf borderId="1" fillId="5" fontId="2" numFmtId="10" xfId="0" applyAlignment="1" applyBorder="1" applyFill="1" applyFont="1" applyNumberFormat="1">
      <alignment horizontal="right" readingOrder="0" vertical="bottom"/>
    </xf>
    <xf borderId="1" fillId="6" fontId="2" numFmtId="10" xfId="0" applyAlignment="1" applyBorder="1" applyFill="1" applyFont="1" applyNumberFormat="1">
      <alignment horizontal="right" readingOrder="0" vertical="bottom"/>
    </xf>
    <xf borderId="1" fillId="0" fontId="2" numFmtId="0" xfId="0" applyAlignment="1" applyBorder="1" applyFont="1">
      <alignment vertical="bottom"/>
    </xf>
    <xf borderId="0" fillId="7" fontId="2" numFmtId="0" xfId="0" applyAlignment="1" applyFill="1" applyFont="1">
      <alignment horizontal="right" vertical="bottom"/>
    </xf>
    <xf borderId="1" fillId="4" fontId="2" numFmtId="10" xfId="0" applyAlignment="1" applyBorder="1" applyFont="1" applyNumberFormat="1">
      <alignment horizontal="right" readingOrder="0" vertical="bottom"/>
    </xf>
    <xf borderId="0" fillId="0" fontId="2" numFmtId="0" xfId="0" applyAlignment="1" applyFont="1">
      <alignment vertical="bottom"/>
    </xf>
    <xf borderId="0" fillId="8" fontId="4" numFmtId="0" xfId="0" applyAlignment="1" applyFill="1" applyFont="1">
      <alignment readingOrder="0" vertical="bottom"/>
    </xf>
    <xf borderId="0" fillId="2" fontId="4" numFmtId="0" xfId="0" applyAlignment="1" applyFont="1">
      <alignment horizontal="right" readingOrder="0" vertical="bottom"/>
    </xf>
    <xf borderId="0" fillId="8" fontId="4" numFmtId="0" xfId="0" applyAlignment="1" applyFont="1">
      <alignment horizontal="right" vertical="bottom"/>
    </xf>
    <xf borderId="1" fillId="9" fontId="4" numFmtId="0" xfId="0" applyAlignment="1" applyBorder="1" applyFill="1" applyFont="1">
      <alignment readingOrder="0" vertical="bottom"/>
    </xf>
    <xf borderId="2" fillId="9" fontId="4" numFmtId="0" xfId="0" applyAlignment="1" applyBorder="1" applyFont="1">
      <alignment readingOrder="0" vertical="bottom"/>
    </xf>
    <xf borderId="3" fillId="9" fontId="4" numFmtId="0" xfId="0" applyAlignment="1" applyBorder="1" applyFont="1">
      <alignment readingOrder="0" vertical="bottom"/>
    </xf>
    <xf borderId="4" fillId="10" fontId="5" numFmtId="0" xfId="0" applyAlignment="1" applyBorder="1" applyFill="1" applyFont="1">
      <alignment horizontal="center" readingOrder="0" vertical="bottom"/>
    </xf>
    <xf borderId="2" fillId="9" fontId="4" numFmtId="0" xfId="0" applyAlignment="1" applyBorder="1" applyFont="1">
      <alignment vertical="bottom"/>
    </xf>
    <xf borderId="2" fillId="9" fontId="4" numFmtId="0" xfId="0" applyAlignment="1" applyBorder="1" applyFont="1">
      <alignment horizontal="center" readingOrder="0" vertical="bottom"/>
    </xf>
    <xf borderId="5" fillId="0" fontId="2" numFmtId="0" xfId="0" applyAlignment="1" applyBorder="1" applyFont="1">
      <alignment readingOrder="0" vertical="bottom"/>
    </xf>
    <xf borderId="4" fillId="0" fontId="2" numFmtId="0" xfId="0" applyAlignment="1" applyBorder="1" applyFont="1">
      <alignment readingOrder="0" vertical="bottom"/>
    </xf>
    <xf borderId="4" fillId="0" fontId="2" numFmtId="10" xfId="0" applyAlignment="1" applyBorder="1" applyFont="1" applyNumberFormat="1">
      <alignment horizontal="right" readingOrder="0" vertical="bottom"/>
    </xf>
    <xf borderId="4" fillId="0" fontId="2" numFmtId="9" xfId="0" applyAlignment="1" applyBorder="1" applyFont="1" applyNumberFormat="1">
      <alignment horizontal="right" readingOrder="0" vertical="bottom"/>
    </xf>
    <xf borderId="4" fillId="0" fontId="2" numFmtId="0" xfId="0" applyAlignment="1" applyBorder="1" applyFont="1">
      <alignment horizontal="center" readingOrder="0" vertical="bottom"/>
    </xf>
    <xf borderId="4" fillId="11" fontId="6" numFmtId="0" xfId="0" applyAlignment="1" applyBorder="1" applyFill="1" applyFont="1">
      <alignment horizontal="center" readingOrder="0" vertical="bottom"/>
    </xf>
    <xf borderId="4" fillId="0" fontId="2" numFmtId="0" xfId="0" applyAlignment="1" applyBorder="1" applyFont="1">
      <alignment vertical="bottom"/>
    </xf>
    <xf borderId="4" fillId="7" fontId="2" numFmtId="0" xfId="0" applyAlignment="1" applyBorder="1" applyFont="1">
      <alignment horizontal="right" readingOrder="0" vertical="bottom"/>
    </xf>
    <xf borderId="4" fillId="7" fontId="2" numFmtId="0" xfId="0" applyAlignment="1" applyBorder="1" applyFont="1">
      <alignment horizontal="center" readingOrder="0" vertical="bottom"/>
    </xf>
    <xf borderId="4" fillId="0" fontId="2" numFmtId="0" xfId="0" applyAlignment="1" applyBorder="1" applyFont="1">
      <alignment horizontal="right" readingOrder="0" vertical="bottom"/>
    </xf>
    <xf borderId="4" fillId="7" fontId="2" numFmtId="164" xfId="0" applyAlignment="1" applyBorder="1" applyFont="1" applyNumberFormat="1">
      <alignment horizontal="right" readingOrder="0" vertical="bottom"/>
    </xf>
    <xf borderId="4" fillId="7" fontId="2" numFmtId="0" xfId="0" applyAlignment="1" applyBorder="1" applyFont="1">
      <alignment horizontal="right" vertical="bottom"/>
    </xf>
    <xf borderId="4" fillId="0" fontId="2" numFmtId="0" xfId="0" applyAlignment="1" applyBorder="1" applyFont="1">
      <alignment horizontal="right" vertical="bottom"/>
    </xf>
    <xf borderId="4" fillId="0" fontId="2" numFmtId="0" xfId="0" applyAlignment="1" applyBorder="1" applyFont="1">
      <alignment horizontal="center" vertical="bottom"/>
    </xf>
    <xf borderId="5" fillId="0" fontId="2" numFmtId="0" xfId="0" applyAlignment="1" applyBorder="1" applyFont="1">
      <alignment vertical="bottom"/>
    </xf>
    <xf borderId="4" fillId="0" fontId="2" numFmtId="164" xfId="0" applyAlignment="1" applyBorder="1" applyFont="1" applyNumberFormat="1">
      <alignment horizontal="right" readingOrder="0" vertical="bottom"/>
    </xf>
    <xf borderId="0" fillId="9" fontId="4" numFmtId="0" xfId="0" applyAlignment="1" applyFont="1">
      <alignment readingOrder="0" vertical="bottom"/>
    </xf>
    <xf borderId="5" fillId="0" fontId="4" numFmtId="0" xfId="0" applyAlignment="1" applyBorder="1" applyFont="1">
      <alignment readingOrder="0" vertical="bottom"/>
    </xf>
    <xf borderId="4" fillId="0" fontId="4" numFmtId="0" xfId="0" applyAlignment="1" applyBorder="1" applyFont="1">
      <alignment vertical="bottom"/>
    </xf>
    <xf borderId="4" fillId="10" fontId="4" numFmtId="0" xfId="0" applyAlignment="1" applyBorder="1" applyFont="1">
      <alignment horizontal="center" readingOrder="0" vertical="bottom"/>
    </xf>
    <xf borderId="4" fillId="7" fontId="4" numFmtId="0" xfId="0" applyAlignment="1" applyBorder="1" applyFont="1">
      <alignment horizontal="right" readingOrder="0" vertical="bottom"/>
    </xf>
    <xf borderId="4" fillId="0" fontId="4" numFmtId="10" xfId="0" applyAlignment="1" applyBorder="1" applyFont="1" applyNumberFormat="1">
      <alignment horizontal="right" readingOrder="0" vertical="bottom"/>
    </xf>
    <xf borderId="4" fillId="7" fontId="4" numFmtId="0" xfId="0" applyAlignment="1" applyBorder="1" applyFont="1">
      <alignment horizontal="center" readingOrder="0" vertical="bottom"/>
    </xf>
    <xf borderId="4" fillId="7" fontId="4" numFmtId="164" xfId="0" applyAlignment="1" applyBorder="1" applyFont="1" applyNumberFormat="1">
      <alignment horizontal="right" readingOrder="0" vertical="bottom"/>
    </xf>
    <xf borderId="4" fillId="7" fontId="4" numFmtId="0" xfId="0" applyAlignment="1" applyBorder="1" applyFont="1">
      <alignment horizontal="right" vertical="bottom"/>
    </xf>
    <xf borderId="4" fillId="0" fontId="4" numFmtId="0" xfId="0" applyAlignment="1" applyBorder="1" applyFont="1">
      <alignment horizontal="right" vertical="bottom"/>
    </xf>
    <xf borderId="4" fillId="0" fontId="4" numFmtId="0" xfId="0" applyAlignment="1" applyBorder="1" applyFont="1">
      <alignment horizontal="center" vertical="bottom"/>
    </xf>
    <xf borderId="1" fillId="7" fontId="2" numFmtId="164" xfId="0" applyAlignment="1" applyBorder="1" applyFont="1" applyNumberFormat="1">
      <alignment horizontal="right" readingOrder="0" vertical="bottom"/>
    </xf>
    <xf borderId="1" fillId="7" fontId="2" numFmtId="0" xfId="0" applyAlignment="1" applyBorder="1" applyFont="1">
      <alignment horizontal="right" readingOrder="0" vertical="bottom"/>
    </xf>
    <xf borderId="0" fillId="0" fontId="3" numFmtId="14" xfId="0" applyAlignment="1" applyFont="1" applyNumberFormat="1">
      <alignment readingOrder="0"/>
    </xf>
    <xf borderId="0" fillId="0" fontId="3" numFmtId="0" xfId="0" applyAlignment="1" applyFont="1">
      <alignment readingOrder="0"/>
    </xf>
    <xf borderId="0" fillId="6" fontId="4" numFmtId="0" xfId="0" applyAlignment="1" applyFont="1">
      <alignment shrinkToFit="0" vertical="bottom" wrapText="0"/>
    </xf>
    <xf borderId="0" fillId="6" fontId="4" numFmtId="0" xfId="0" applyAlignment="1" applyFont="1">
      <alignment horizontal="right" readingOrder="0" shrinkToFit="0" vertical="bottom" wrapText="0"/>
    </xf>
    <xf borderId="0" fillId="6" fontId="4" numFmtId="0" xfId="0" applyAlignment="1" applyFont="1">
      <alignment horizontal="center" shrinkToFit="0" wrapText="0"/>
    </xf>
    <xf borderId="0" fillId="0" fontId="2" numFmtId="0" xfId="0" applyAlignment="1" applyFont="1">
      <alignment shrinkToFit="0" vertical="bottom" wrapText="0"/>
    </xf>
    <xf borderId="1" fillId="0" fontId="2" numFmtId="164" xfId="0" applyAlignment="1" applyBorder="1" applyFont="1" applyNumberFormat="1">
      <alignment horizontal="right" readingOrder="0" shrinkToFit="0" vertical="bottom" wrapText="0"/>
    </xf>
    <xf borderId="0" fillId="6" fontId="4" numFmtId="3" xfId="0" applyAlignment="1" applyFont="1" applyNumberFormat="1">
      <alignment horizontal="center" readingOrder="0" shrinkToFit="0" wrapText="0"/>
    </xf>
    <xf borderId="1" fillId="0" fontId="2" numFmtId="164" xfId="0" applyAlignment="1" applyBorder="1" applyFont="1" applyNumberFormat="1">
      <alignment readingOrder="0" shrinkToFit="0" vertical="bottom" wrapText="0"/>
    </xf>
    <xf borderId="0" fillId="0" fontId="2" numFmtId="164" xfId="0" applyAlignment="1" applyFont="1" applyNumberFormat="1">
      <alignment horizontal="center" readingOrder="0" shrinkToFit="0" wrapText="0"/>
    </xf>
    <xf borderId="0" fillId="7" fontId="2" numFmtId="164" xfId="0" applyAlignment="1" applyFont="1" applyNumberFormat="1">
      <alignment horizontal="center" readingOrder="0" shrinkToFit="0" wrapText="0"/>
    </xf>
    <xf borderId="0" fillId="12" fontId="2" numFmtId="164" xfId="0" applyAlignment="1" applyFill="1" applyFont="1" applyNumberFormat="1">
      <alignment horizontal="center" readingOrder="0" shrinkToFit="0" wrapText="0"/>
    </xf>
    <xf borderId="0" fillId="12" fontId="2" numFmtId="0" xfId="0" applyAlignment="1" applyFont="1">
      <alignment shrinkToFit="0" vertical="bottom" wrapText="0"/>
    </xf>
    <xf borderId="0" fillId="0" fontId="2" numFmtId="0" xfId="0" applyAlignment="1" applyFont="1">
      <alignment horizontal="center" shrinkToFit="0" wrapText="0"/>
    </xf>
    <xf borderId="0" fillId="0" fontId="7" numFmtId="0" xfId="0" applyAlignment="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right" readingOrder="0" shrinkToFit="0" vertical="bottom" wrapText="0"/>
    </xf>
    <xf borderId="0" fillId="0" fontId="6" numFmtId="0" xfId="0" applyAlignment="1" applyFont="1">
      <alignment horizontal="center" readingOrder="0" shrinkToFit="0" wrapText="0"/>
    </xf>
    <xf borderId="0" fillId="0" fontId="2" numFmtId="164" xfId="0" applyAlignment="1" applyFont="1" applyNumberFormat="1">
      <alignment horizontal="center" readingOrder="0" shrinkToFit="0" wrapText="0"/>
    </xf>
    <xf borderId="0" fillId="0" fontId="4" numFmtId="0" xfId="0" applyAlignment="1" applyFont="1">
      <alignment shrinkToFit="0" vertical="bottom" wrapText="0"/>
    </xf>
    <xf borderId="0" fillId="0" fontId="4" numFmtId="0" xfId="0" applyAlignment="1" applyFont="1">
      <alignment horizontal="center" readingOrder="0" shrinkToFit="0" wrapText="0"/>
    </xf>
    <xf borderId="0" fillId="0" fontId="4" numFmtId="0" xfId="0" applyAlignment="1" applyFont="1">
      <alignment readingOrder="0" vertical="bottom"/>
    </xf>
    <xf borderId="0" fillId="0" fontId="8" numFmtId="0" xfId="0" applyAlignment="1" applyFont="1">
      <alignment readingOrder="0" shrinkToFit="0" vertical="bottom" wrapText="0"/>
    </xf>
    <xf borderId="0" fillId="0" fontId="4" numFmtId="3" xfId="0" applyAlignment="1" applyFont="1" applyNumberFormat="1">
      <alignment horizontal="right" readingOrder="0" shrinkToFit="0" vertical="bottom" wrapText="0"/>
    </xf>
    <xf borderId="1" fillId="0" fontId="9" numFmtId="0" xfId="0" applyAlignment="1" applyBorder="1" applyFont="1">
      <alignmen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horizontal="right" readingOrder="0" shrinkToFit="0" vertical="bottom" wrapText="0"/>
    </xf>
    <xf borderId="1" fillId="0" fontId="10" numFmtId="0" xfId="0" applyAlignment="1" applyBorder="1" applyFont="1">
      <alignment readingOrder="0" shrinkToFit="0" vertical="bottom" wrapText="0"/>
    </xf>
    <xf borderId="1" fillId="0" fontId="10" numFmtId="0" xfId="0" applyAlignment="1" applyBorder="1" applyFont="1">
      <alignment horizontal="left" readingOrder="0" shrinkToFit="0" vertical="bottom" wrapText="0"/>
    </xf>
    <xf borderId="0" fillId="0" fontId="11" numFmtId="0" xfId="0" applyAlignment="1" applyFont="1">
      <alignment readingOrder="0" shrinkToFit="0" vertical="bottom" wrapText="0"/>
    </xf>
    <xf borderId="0" fillId="12" fontId="2" numFmtId="0" xfId="0" applyAlignment="1" applyFont="1">
      <alignment readingOrder="0" shrinkToFit="0" vertical="bottom" wrapText="0"/>
    </xf>
    <xf borderId="0" fillId="0" fontId="2" numFmtId="0" xfId="0" applyAlignment="1" applyFont="1">
      <alignment readingOrder="0" shrinkToFit="0" vertical="bottom" wrapText="0"/>
    </xf>
    <xf borderId="0" fillId="0" fontId="4" numFmtId="164" xfId="0" applyAlignment="1" applyFont="1" applyNumberFormat="1">
      <alignment horizontal="right" readingOrder="0" shrinkToFit="0" vertical="bottom" wrapText="0"/>
    </xf>
    <xf borderId="0" fillId="0" fontId="2" numFmtId="165" xfId="0" applyAlignment="1" applyFont="1" applyNumberFormat="1">
      <alignment horizontal="righ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0" numFmtId="164" xfId="0" applyAlignment="1" applyFont="1" applyNumberFormat="1">
      <alignment horizontal="right" readingOrder="0" shrinkToFit="0" vertical="bottom" wrapText="0"/>
    </xf>
    <xf borderId="0" fillId="0" fontId="10" numFmtId="0" xfId="0" applyAlignment="1" applyFont="1">
      <alignment horizontal="center" readingOrder="0" shrinkToFit="0" vertical="bottom" wrapText="0"/>
    </xf>
    <xf borderId="0" fillId="0" fontId="10" numFmtId="0" xfId="0" applyAlignment="1" applyFont="1">
      <alignment shrinkToFit="0" vertical="bottom" wrapText="0"/>
    </xf>
    <xf borderId="0" fillId="13" fontId="10" numFmtId="0" xfId="0" applyAlignment="1" applyFill="1" applyFont="1">
      <alignment readingOrder="0" shrinkToFit="0" vertical="bottom" wrapText="0"/>
    </xf>
    <xf borderId="0" fillId="13" fontId="10" numFmtId="164" xfId="0" applyAlignment="1" applyFont="1" applyNumberFormat="1">
      <alignment horizontal="right" readingOrder="0" shrinkToFit="0" vertical="bottom" wrapText="0"/>
    </xf>
    <xf borderId="0" fillId="13" fontId="9" numFmtId="0" xfId="0" applyAlignment="1" applyFont="1">
      <alignment readingOrder="0" shrinkToFit="0" vertical="bottom" wrapText="0"/>
    </xf>
    <xf borderId="0" fillId="13" fontId="9" numFmtId="164" xfId="0" applyAlignment="1" applyFont="1" applyNumberFormat="1">
      <alignment horizontal="right" readingOrder="0" shrinkToFit="0" vertical="bottom" wrapText="0"/>
    </xf>
    <xf borderId="0" fillId="14" fontId="12" numFmtId="0" xfId="0" applyAlignment="1" applyFill="1" applyFont="1">
      <alignment vertical="bottom"/>
    </xf>
    <xf borderId="0" fillId="0" fontId="13" numFmtId="0" xfId="0" applyAlignment="1" applyFont="1">
      <alignment vertical="bottom"/>
    </xf>
    <xf borderId="0" fillId="0" fontId="2" numFmtId="0" xfId="0" applyAlignment="1" applyFont="1">
      <alignment horizontal="left" shrinkToFit="0" vertical="top" wrapText="0"/>
    </xf>
    <xf borderId="0" fillId="0" fontId="12" numFmtId="0" xfId="0" applyAlignment="1" applyFont="1">
      <alignment vertical="bottom"/>
    </xf>
    <xf borderId="0" fillId="0" fontId="14" numFmtId="0" xfId="0" applyAlignment="1" applyFont="1">
      <alignment vertical="bottom"/>
    </xf>
    <xf borderId="0" fillId="0" fontId="15" numFmtId="0" xfId="0" applyAlignment="1" applyFont="1">
      <alignment vertical="bottom"/>
    </xf>
    <xf borderId="0" fillId="0" fontId="16" numFmtId="0" xfId="0" applyAlignment="1" applyFont="1">
      <alignment vertical="bottom"/>
    </xf>
    <xf borderId="0" fillId="0" fontId="13" numFmtId="0" xfId="0" applyAlignment="1" applyFont="1">
      <alignment vertical="top"/>
    </xf>
    <xf borderId="0" fillId="0" fontId="12" numFmtId="0" xfId="0" applyFont="1"/>
    <xf borderId="0" fillId="0" fontId="13" numFmtId="0" xfId="0" applyFont="1"/>
    <xf borderId="0" fillId="0" fontId="17" numFmtId="0" xfId="0" applyAlignment="1" applyFont="1">
      <alignment readingOrder="0" vertical="bottom"/>
    </xf>
    <xf borderId="0" fillId="0" fontId="18" numFmtId="0" xfId="0" applyAlignment="1" applyFont="1">
      <alignment horizontal="left" readingOrder="0" vertical="bottom"/>
    </xf>
    <xf borderId="0" fillId="0" fontId="19" numFmtId="0" xfId="0" applyFont="1"/>
    <xf borderId="0" fillId="0" fontId="20" numFmtId="0" xfId="0" applyAlignment="1" applyFont="1">
      <alignment readingOrder="0"/>
    </xf>
    <xf borderId="0" fillId="0" fontId="20" numFmtId="0" xfId="0" applyFont="1"/>
    <xf borderId="0" fillId="0" fontId="13" numFmtId="0" xfId="0" applyAlignment="1" applyFont="1">
      <alignment horizontal="left"/>
    </xf>
    <xf borderId="6" fillId="0" fontId="13" numFmtId="0" xfId="0" applyAlignment="1" applyBorder="1" applyFont="1">
      <alignment vertical="bottom"/>
    </xf>
    <xf borderId="6" fillId="0" fontId="21" numFmtId="0" xfId="0" applyBorder="1" applyFont="1"/>
    <xf borderId="0" fillId="0" fontId="22" numFmtId="0" xfId="0" applyAlignment="1" applyFont="1">
      <alignment readingOrder="0"/>
    </xf>
    <xf borderId="0" fillId="0" fontId="22" numFmtId="0" xfId="0" applyAlignment="1" applyFont="1">
      <alignment horizontal="right" readingOrder="0"/>
    </xf>
    <xf borderId="0" fillId="15" fontId="23" numFmtId="0" xfId="0" applyFill="1" applyFont="1"/>
    <xf borderId="0" fillId="15" fontId="13" numFmtId="0" xfId="0" applyAlignment="1" applyFont="1">
      <alignment horizontal="right" vertical="bottom"/>
    </xf>
    <xf borderId="0" fillId="15" fontId="13" numFmtId="164" xfId="0" applyAlignment="1" applyFont="1" applyNumberFormat="1">
      <alignment horizontal="right" readingOrder="0" vertical="bottom"/>
    </xf>
    <xf borderId="0" fillId="15" fontId="13" numFmtId="164" xfId="0" applyAlignment="1" applyFont="1" applyNumberFormat="1">
      <alignment horizontal="right" readingOrder="0"/>
    </xf>
    <xf borderId="0" fillId="0" fontId="24" numFmtId="0" xfId="0" applyFont="1"/>
    <xf borderId="0" fillId="0" fontId="23" numFmtId="0" xfId="0" applyFont="1"/>
    <xf borderId="0" fillId="0" fontId="13" numFmtId="0" xfId="0" applyAlignment="1" applyFont="1">
      <alignment horizontal="right" vertical="bottom"/>
    </xf>
    <xf borderId="0" fillId="0" fontId="13" numFmtId="164" xfId="0" applyAlignment="1" applyFont="1" applyNumberFormat="1">
      <alignment horizontal="right" readingOrder="0" vertical="bottom"/>
    </xf>
    <xf borderId="0" fillId="0" fontId="13" numFmtId="164" xfId="0" applyAlignment="1" applyFont="1" applyNumberFormat="1">
      <alignment horizontal="right" readingOrder="0"/>
    </xf>
    <xf borderId="0" fillId="0" fontId="13" numFmtId="0" xfId="0" applyAlignment="1" applyFont="1">
      <alignment horizontal="left" vertical="bottom"/>
    </xf>
    <xf borderId="0" fillId="15" fontId="13" numFmtId="0" xfId="0" applyAlignment="1" applyFont="1">
      <alignment horizontal="left" vertical="bottom"/>
    </xf>
    <xf borderId="0" fillId="15" fontId="13" numFmtId="0" xfId="0" applyFont="1"/>
    <xf borderId="7" fillId="0" fontId="25" numFmtId="0" xfId="0" applyAlignment="1" applyBorder="1" applyFont="1">
      <alignment readingOrder="0" vertical="bottom"/>
    </xf>
    <xf borderId="7" fillId="0" fontId="25" numFmtId="0" xfId="0" applyAlignment="1" applyBorder="1" applyFont="1">
      <alignment vertical="bottom"/>
    </xf>
    <xf borderId="7" fillId="0" fontId="21" numFmtId="0" xfId="0" applyBorder="1" applyFont="1"/>
    <xf borderId="7" fillId="0" fontId="26" numFmtId="0" xfId="0" applyAlignment="1" applyBorder="1" applyFont="1">
      <alignment horizontal="right" readingOrder="0" vertical="bottom"/>
    </xf>
    <xf borderId="7" fillId="0" fontId="27" numFmtId="164" xfId="0" applyAlignment="1" applyBorder="1" applyFont="1" applyNumberFormat="1">
      <alignment horizontal="right" readingOrder="0" vertical="bottom"/>
    </xf>
    <xf borderId="0" fillId="0" fontId="28" numFmtId="0" xfId="0" applyAlignment="1" applyFont="1">
      <alignment vertical="bottom"/>
    </xf>
    <xf borderId="0" fillId="0" fontId="26" numFmtId="0" xfId="0" applyAlignment="1" applyFont="1">
      <alignment horizontal="right" readingOrder="0" vertical="bottom"/>
    </xf>
    <xf borderId="0" fillId="0" fontId="29" numFmtId="164" xfId="0" applyAlignment="1" applyFont="1" applyNumberFormat="1">
      <alignment horizontal="right" readingOrder="0" vertical="bottom"/>
    </xf>
    <xf borderId="0" fillId="0" fontId="30" numFmtId="0" xfId="0" applyFont="1"/>
    <xf borderId="0" fillId="0" fontId="31" numFmtId="164" xfId="0" applyAlignment="1" applyFont="1" applyNumberFormat="1">
      <alignment horizontal="right" readingOrder="0"/>
    </xf>
    <xf borderId="0" fillId="0" fontId="3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600075</xdr:colOff>
      <xdr:row>1</xdr:row>
      <xdr:rowOff>104775</xdr:rowOff>
    </xdr:from>
    <xdr:ext cx="32289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5.88"/>
  </cols>
  <sheetData>
    <row r="3">
      <c r="A3" s="1" t="s">
        <v>0</v>
      </c>
      <c r="B3" s="2" t="s">
        <v>1</v>
      </c>
      <c r="C3" s="1" t="s">
        <v>2</v>
      </c>
      <c r="D3" s="1" t="s">
        <v>3</v>
      </c>
      <c r="E3" s="1" t="s">
        <v>4</v>
      </c>
      <c r="F3" s="1" t="s">
        <v>5</v>
      </c>
      <c r="G3" s="1" t="s">
        <v>6</v>
      </c>
      <c r="H3" s="1" t="s">
        <v>7</v>
      </c>
      <c r="I3" s="1" t="s">
        <v>8</v>
      </c>
      <c r="J3" s="1" t="s">
        <v>9</v>
      </c>
      <c r="K3" s="1" t="s">
        <v>10</v>
      </c>
      <c r="L3" s="1" t="s">
        <v>11</v>
      </c>
      <c r="M3" s="1" t="s">
        <v>12</v>
      </c>
      <c r="N3" s="3"/>
      <c r="O3" s="4" t="s">
        <v>13</v>
      </c>
      <c r="P3" s="5" t="s">
        <v>14</v>
      </c>
      <c r="Q3" s="6">
        <v>100.0</v>
      </c>
      <c r="R3" s="7" t="s">
        <v>15</v>
      </c>
      <c r="S3" s="7" t="s">
        <v>16</v>
      </c>
      <c r="T3" s="7" t="s">
        <v>17</v>
      </c>
    </row>
    <row r="4">
      <c r="A4" s="8" t="str">
        <f>A20</f>
        <v>Nature Made Multivitamin for Him, 90 Tablet</v>
      </c>
      <c r="B4" s="9"/>
      <c r="C4" s="10">
        <f>B58</f>
        <v>0.017</v>
      </c>
      <c r="D4" s="11"/>
      <c r="E4" s="11"/>
      <c r="F4" s="12">
        <f>C4*L20</f>
        <v>8115.12</v>
      </c>
      <c r="G4" s="13">
        <v>0.07</v>
      </c>
      <c r="H4" s="11"/>
      <c r="I4" s="11"/>
      <c r="J4" s="14"/>
      <c r="K4" s="14"/>
      <c r="L4" s="15">
        <v>0.0</v>
      </c>
      <c r="M4" s="15">
        <v>0.0</v>
      </c>
      <c r="N4" s="14"/>
      <c r="O4" s="14"/>
      <c r="P4" s="5" t="s">
        <v>18</v>
      </c>
      <c r="Q4" s="16"/>
      <c r="R4" s="7" t="s">
        <v>19</v>
      </c>
      <c r="S4" s="7" t="s">
        <v>20</v>
      </c>
      <c r="T4" s="7" t="s">
        <v>21</v>
      </c>
    </row>
    <row r="5">
      <c r="A5" s="17"/>
      <c r="B5" s="14"/>
      <c r="C5" s="18"/>
      <c r="D5" s="14"/>
      <c r="E5" s="14"/>
      <c r="F5" s="14"/>
      <c r="G5" s="14"/>
      <c r="H5" s="14"/>
      <c r="I5" s="14"/>
      <c r="J5" s="14"/>
      <c r="K5" s="14"/>
      <c r="L5" s="15">
        <v>0.0</v>
      </c>
      <c r="M5" s="15">
        <v>0.0</v>
      </c>
      <c r="N5" s="14"/>
      <c r="O5" s="14"/>
      <c r="P5" s="5" t="s">
        <v>22</v>
      </c>
      <c r="Q5" s="19"/>
      <c r="R5" s="7" t="s">
        <v>23</v>
      </c>
      <c r="S5" s="7" t="s">
        <v>24</v>
      </c>
      <c r="T5" s="7" t="s">
        <v>25</v>
      </c>
    </row>
    <row r="6">
      <c r="A6" s="17"/>
      <c r="B6" s="14"/>
      <c r="C6" s="18"/>
      <c r="D6" s="14"/>
      <c r="E6" s="14"/>
      <c r="F6" s="14"/>
      <c r="G6" s="14"/>
      <c r="H6" s="14"/>
      <c r="I6" s="14"/>
      <c r="J6" s="14"/>
      <c r="K6" s="14"/>
      <c r="L6" s="15">
        <v>0.0</v>
      </c>
      <c r="M6" s="15">
        <v>0.0</v>
      </c>
      <c r="N6" s="14"/>
      <c r="O6" s="14"/>
      <c r="P6" s="5" t="s">
        <v>26</v>
      </c>
      <c r="Q6" s="20"/>
      <c r="R6" s="7" t="s">
        <v>27</v>
      </c>
      <c r="S6" s="7" t="s">
        <v>28</v>
      </c>
      <c r="T6" s="7" t="s">
        <v>29</v>
      </c>
    </row>
    <row r="7">
      <c r="A7" s="17"/>
      <c r="B7" s="14"/>
      <c r="C7" s="18"/>
      <c r="D7" s="14"/>
      <c r="E7" s="14"/>
      <c r="F7" s="14"/>
      <c r="G7" s="14"/>
      <c r="H7" s="14"/>
      <c r="I7" s="14"/>
      <c r="J7" s="14"/>
      <c r="K7" s="14"/>
      <c r="L7" s="15">
        <v>0.0</v>
      </c>
      <c r="M7" s="15">
        <v>0.0</v>
      </c>
      <c r="N7" s="14"/>
      <c r="O7" s="14"/>
      <c r="P7" s="5" t="s">
        <v>30</v>
      </c>
      <c r="Q7" s="20"/>
      <c r="R7" s="7" t="s">
        <v>31</v>
      </c>
      <c r="S7" s="7" t="s">
        <v>32</v>
      </c>
      <c r="T7" s="7" t="s">
        <v>33</v>
      </c>
    </row>
    <row r="12">
      <c r="A12" s="21" t="s">
        <v>34</v>
      </c>
      <c r="B12" s="22">
        <v>0.06</v>
      </c>
      <c r="C12" s="17"/>
      <c r="D12" s="18"/>
      <c r="E12" s="23"/>
      <c r="F12" s="23"/>
      <c r="G12" s="14"/>
      <c r="H12" s="24"/>
      <c r="I12" s="14"/>
      <c r="J12" s="14"/>
      <c r="K12" s="18"/>
      <c r="L12" s="18"/>
      <c r="M12" s="18"/>
      <c r="N12" s="14"/>
      <c r="O12" s="14"/>
    </row>
    <row r="13">
      <c r="A13" s="21" t="s">
        <v>35</v>
      </c>
      <c r="B13" s="22">
        <v>-0.07</v>
      </c>
      <c r="D13" s="18"/>
      <c r="E13" s="23"/>
      <c r="F13" s="23"/>
      <c r="G13" s="14"/>
      <c r="H13" s="24"/>
      <c r="I13" s="14"/>
      <c r="J13" s="14"/>
      <c r="K13" s="18"/>
      <c r="L13" s="18"/>
      <c r="M13" s="18"/>
      <c r="N13" s="14"/>
      <c r="O13" s="14"/>
    </row>
    <row r="14">
      <c r="A14" s="21" t="s">
        <v>36</v>
      </c>
      <c r="B14" s="22">
        <v>-0.03</v>
      </c>
      <c r="D14" s="18"/>
      <c r="E14" s="23"/>
      <c r="F14" s="23"/>
      <c r="G14" s="14"/>
      <c r="H14" s="24"/>
      <c r="I14" s="14"/>
      <c r="J14" s="14"/>
      <c r="K14" s="18"/>
      <c r="L14" s="18"/>
      <c r="M14" s="18"/>
      <c r="N14" s="14"/>
      <c r="O14" s="14"/>
    </row>
    <row r="15">
      <c r="A15" s="25" t="s">
        <v>37</v>
      </c>
      <c r="B15" s="26">
        <v>-0.03</v>
      </c>
    </row>
    <row r="16">
      <c r="A16" s="25" t="s">
        <v>38</v>
      </c>
      <c r="B16" s="26">
        <v>-0.05</v>
      </c>
    </row>
    <row r="17">
      <c r="A17" s="25" t="s">
        <v>39</v>
      </c>
      <c r="B17" s="26">
        <v>-0.03</v>
      </c>
    </row>
    <row r="19">
      <c r="A19" s="27" t="s">
        <v>40</v>
      </c>
      <c r="B19" s="27" t="s">
        <v>41</v>
      </c>
      <c r="C19" s="27" t="s">
        <v>42</v>
      </c>
      <c r="D19" s="27" t="s">
        <v>43</v>
      </c>
      <c r="E19" s="27" t="s">
        <v>44</v>
      </c>
      <c r="F19" s="27" t="s">
        <v>45</v>
      </c>
      <c r="G19" s="27" t="s">
        <v>46</v>
      </c>
      <c r="H19" s="27" t="s">
        <v>47</v>
      </c>
      <c r="I19" s="28"/>
      <c r="J19" s="27" t="s">
        <v>48</v>
      </c>
      <c r="K19" s="27" t="s">
        <v>49</v>
      </c>
      <c r="L19" s="27" t="s">
        <v>50</v>
      </c>
      <c r="M19" s="29"/>
      <c r="N19" s="24"/>
      <c r="O19" s="30" t="s">
        <v>51</v>
      </c>
      <c r="P19" s="31">
        <v>2.0</v>
      </c>
    </row>
    <row r="20">
      <c r="A20" s="32" t="s">
        <v>52</v>
      </c>
      <c r="B20" s="33">
        <v>5.0</v>
      </c>
      <c r="C20" s="33">
        <v>90.0</v>
      </c>
      <c r="D20" s="34">
        <f>B20*C20</f>
        <v>450</v>
      </c>
      <c r="E20" s="35">
        <v>1.02</v>
      </c>
      <c r="F20" s="34">
        <f>D20*E20</f>
        <v>459</v>
      </c>
      <c r="G20" s="33">
        <v>1000.0</v>
      </c>
      <c r="H20" s="36">
        <v>0.02</v>
      </c>
      <c r="I20" s="37"/>
      <c r="J20" s="36">
        <v>0.02</v>
      </c>
      <c r="K20" s="34">
        <f>F20+(F20*H20)+(F20*J20)</f>
        <v>477.36</v>
      </c>
      <c r="L20" s="34">
        <f>G20*K20</f>
        <v>477360</v>
      </c>
      <c r="M20" s="38"/>
      <c r="N20" s="24"/>
      <c r="O20" s="30" t="s">
        <v>53</v>
      </c>
      <c r="P20" s="39">
        <v>0.1</v>
      </c>
    </row>
    <row r="21">
      <c r="A21" s="40"/>
      <c r="B21" s="40"/>
      <c r="C21" s="40"/>
      <c r="D21" s="40"/>
      <c r="E21" s="40"/>
      <c r="F21" s="40"/>
      <c r="G21" s="40"/>
      <c r="H21" s="40"/>
      <c r="I21" s="40"/>
      <c r="J21" s="14"/>
      <c r="K21" s="41" t="s">
        <v>54</v>
      </c>
      <c r="L21" s="42">
        <f>L20/1000</f>
        <v>477.36</v>
      </c>
      <c r="M21" s="43"/>
      <c r="N21" s="24"/>
      <c r="O21" s="14"/>
      <c r="P21" s="14"/>
    </row>
    <row r="22">
      <c r="N22" s="24"/>
      <c r="O22" s="14"/>
      <c r="P22" s="14"/>
    </row>
    <row r="23">
      <c r="N23" s="24"/>
      <c r="O23" s="14"/>
      <c r="P23" s="14"/>
    </row>
    <row r="26">
      <c r="A26" s="44" t="s">
        <v>2</v>
      </c>
      <c r="B26" s="45" t="s">
        <v>55</v>
      </c>
      <c r="C26" s="45" t="s">
        <v>56</v>
      </c>
      <c r="D26" s="45" t="s">
        <v>57</v>
      </c>
      <c r="E26" s="46" t="s">
        <v>58</v>
      </c>
      <c r="F26" s="44" t="s">
        <v>59</v>
      </c>
      <c r="G26" s="47" t="s">
        <v>60</v>
      </c>
      <c r="H26" s="47" t="s">
        <v>61</v>
      </c>
      <c r="I26" s="47" t="s">
        <v>62</v>
      </c>
      <c r="J26" s="47" t="s">
        <v>63</v>
      </c>
      <c r="K26" s="45" t="s">
        <v>64</v>
      </c>
      <c r="L26" s="45" t="s">
        <v>65</v>
      </c>
      <c r="M26" s="45" t="s">
        <v>66</v>
      </c>
      <c r="N26" s="45" t="s">
        <v>67</v>
      </c>
      <c r="O26" s="45" t="s">
        <v>68</v>
      </c>
      <c r="P26" s="45" t="s">
        <v>69</v>
      </c>
      <c r="Q26" s="45" t="s">
        <v>70</v>
      </c>
      <c r="R26" s="45" t="s">
        <v>71</v>
      </c>
      <c r="S26" s="45" t="s">
        <v>72</v>
      </c>
      <c r="T26" s="48"/>
      <c r="U26" s="45" t="s">
        <v>73</v>
      </c>
      <c r="V26" s="45" t="s">
        <v>74</v>
      </c>
      <c r="W26" s="45" t="s">
        <v>75</v>
      </c>
      <c r="X26" s="48"/>
      <c r="Y26" s="49" t="s">
        <v>76</v>
      </c>
    </row>
    <row r="27">
      <c r="A27" s="50" t="s">
        <v>77</v>
      </c>
      <c r="B27" s="51" t="s">
        <v>78</v>
      </c>
      <c r="C27" s="52">
        <v>1.0</v>
      </c>
      <c r="D27" s="51">
        <v>0.75</v>
      </c>
      <c r="E27" s="53">
        <v>0.03</v>
      </c>
      <c r="F27" s="54">
        <f>(D27+(E27*D27))/C27</f>
        <v>0.7725</v>
      </c>
      <c r="G27" s="55" t="e">
        <v>#DIV/0!</v>
      </c>
      <c r="H27" s="55" t="e">
        <v>#DIV/0!</v>
      </c>
      <c r="I27" s="55" t="e">
        <v>#DIV/0!</v>
      </c>
      <c r="J27" s="55" t="e">
        <v>#DIV/0!</v>
      </c>
      <c r="K27" s="56"/>
      <c r="L27" s="57">
        <v>0.42</v>
      </c>
      <c r="M27" s="52">
        <v>0.05</v>
      </c>
      <c r="N27" s="56"/>
      <c r="O27" s="58" t="e">
        <v>#VALUE!</v>
      </c>
      <c r="P27" s="56"/>
      <c r="Q27" s="59">
        <v>0.0</v>
      </c>
      <c r="R27" s="60">
        <v>0.0</v>
      </c>
      <c r="S27" s="57" t="e">
        <v>#VALUE!</v>
      </c>
      <c r="T27" s="61"/>
      <c r="U27" s="59">
        <v>0.0</v>
      </c>
      <c r="V27" s="62"/>
      <c r="W27" s="62"/>
      <c r="X27" s="62"/>
      <c r="Y27" s="63"/>
    </row>
    <row r="28">
      <c r="A28" s="64"/>
      <c r="B28" s="56"/>
      <c r="C28" s="52">
        <v>0.0</v>
      </c>
      <c r="D28" s="56"/>
      <c r="E28" s="53">
        <v>0.0</v>
      </c>
      <c r="F28" s="54" t="e">
        <v>#DIV/0!</v>
      </c>
      <c r="G28" s="55" t="e">
        <v>#DIV/0!</v>
      </c>
      <c r="H28" s="55" t="e">
        <v>#DIV/0!</v>
      </c>
      <c r="I28" s="55" t="e">
        <v>#DIV/0!</v>
      </c>
      <c r="J28" s="55" t="e">
        <v>#DIV/0!</v>
      </c>
      <c r="K28" s="56"/>
      <c r="L28" s="57">
        <v>0.0</v>
      </c>
      <c r="M28" s="52">
        <v>0.0</v>
      </c>
      <c r="N28" s="65">
        <v>0.0</v>
      </c>
      <c r="O28" s="60">
        <v>0.0</v>
      </c>
      <c r="P28" s="56"/>
      <c r="Q28" s="59">
        <v>0.0</v>
      </c>
      <c r="R28" s="60">
        <v>0.0</v>
      </c>
      <c r="S28" s="60">
        <v>0.0</v>
      </c>
      <c r="T28" s="61"/>
      <c r="U28" s="59">
        <v>0.0</v>
      </c>
      <c r="V28" s="62"/>
      <c r="W28" s="62"/>
      <c r="X28" s="62"/>
      <c r="Y28" s="63"/>
      <c r="Z28" s="45" t="s">
        <v>79</v>
      </c>
      <c r="AA28" s="66"/>
      <c r="AB28" s="66"/>
      <c r="AC28" s="66"/>
      <c r="AD28" s="66"/>
      <c r="AE28" s="66"/>
    </row>
    <row r="29">
      <c r="A29" s="64"/>
      <c r="B29" s="56"/>
      <c r="C29" s="52">
        <v>0.0</v>
      </c>
      <c r="D29" s="56"/>
      <c r="E29" s="53">
        <v>0.0</v>
      </c>
      <c r="F29" s="54" t="e">
        <v>#DIV/0!</v>
      </c>
      <c r="G29" s="55" t="e">
        <v>#DIV/0!</v>
      </c>
      <c r="H29" s="55" t="e">
        <v>#DIV/0!</v>
      </c>
      <c r="I29" s="55" t="e">
        <v>#DIV/0!</v>
      </c>
      <c r="J29" s="55" t="e">
        <v>#DIV/0!</v>
      </c>
      <c r="K29" s="56"/>
      <c r="L29" s="57">
        <v>0.0</v>
      </c>
      <c r="M29" s="52">
        <v>0.0</v>
      </c>
      <c r="N29" s="65">
        <v>0.0</v>
      </c>
      <c r="O29" s="60">
        <v>0.0</v>
      </c>
      <c r="P29" s="56"/>
      <c r="Q29" s="59">
        <v>0.0</v>
      </c>
      <c r="R29" s="60">
        <v>0.0</v>
      </c>
      <c r="S29" s="60">
        <v>0.0</v>
      </c>
      <c r="T29" s="61"/>
      <c r="U29" s="59">
        <v>0.0</v>
      </c>
      <c r="V29" s="62"/>
      <c r="W29" s="62"/>
      <c r="X29" s="62"/>
      <c r="Y29" s="63"/>
      <c r="Z29" s="56"/>
      <c r="AA29" s="40"/>
      <c r="AB29" s="40"/>
      <c r="AC29" s="40"/>
      <c r="AD29" s="40"/>
      <c r="AE29" s="40"/>
    </row>
    <row r="30">
      <c r="A30" s="64"/>
      <c r="B30" s="56"/>
      <c r="C30" s="52">
        <v>0.0</v>
      </c>
      <c r="D30" s="56"/>
      <c r="E30" s="53">
        <v>0.0</v>
      </c>
      <c r="F30" s="54" t="e">
        <v>#DIV/0!</v>
      </c>
      <c r="G30" s="55" t="e">
        <v>#DIV/0!</v>
      </c>
      <c r="H30" s="55" t="e">
        <v>#DIV/0!</v>
      </c>
      <c r="I30" s="55" t="e">
        <v>#DIV/0!</v>
      </c>
      <c r="J30" s="55" t="e">
        <v>#DIV/0!</v>
      </c>
      <c r="K30" s="56"/>
      <c r="L30" s="57">
        <v>0.0</v>
      </c>
      <c r="M30" s="52">
        <v>0.0</v>
      </c>
      <c r="N30" s="65">
        <v>0.0</v>
      </c>
      <c r="O30" s="60">
        <v>0.0</v>
      </c>
      <c r="P30" s="56"/>
      <c r="Q30" s="59">
        <v>0.0</v>
      </c>
      <c r="R30" s="60">
        <v>0.0</v>
      </c>
      <c r="S30" s="60">
        <v>0.0</v>
      </c>
      <c r="T30" s="61"/>
      <c r="U30" s="59">
        <v>0.0</v>
      </c>
      <c r="V30" s="62"/>
      <c r="W30" s="62"/>
      <c r="X30" s="62"/>
      <c r="Y30" s="63"/>
      <c r="Z30" s="56"/>
      <c r="AA30" s="40"/>
      <c r="AB30" s="40"/>
      <c r="AC30" s="40"/>
      <c r="AD30" s="40"/>
      <c r="AE30" s="40"/>
    </row>
    <row r="31">
      <c r="A31" s="64"/>
      <c r="B31" s="56"/>
      <c r="C31" s="52">
        <v>0.0</v>
      </c>
      <c r="D31" s="56"/>
      <c r="E31" s="53">
        <v>0.0</v>
      </c>
      <c r="F31" s="54" t="e">
        <v>#DIV/0!</v>
      </c>
      <c r="G31" s="55" t="e">
        <v>#DIV/0!</v>
      </c>
      <c r="H31" s="55" t="e">
        <v>#DIV/0!</v>
      </c>
      <c r="I31" s="55" t="e">
        <v>#DIV/0!</v>
      </c>
      <c r="J31" s="55" t="e">
        <v>#DIV/0!</v>
      </c>
      <c r="K31" s="56"/>
      <c r="L31" s="57">
        <v>0.0</v>
      </c>
      <c r="M31" s="52">
        <v>0.0</v>
      </c>
      <c r="N31" s="65">
        <v>0.0</v>
      </c>
      <c r="O31" s="60">
        <v>0.0</v>
      </c>
      <c r="P31" s="56"/>
      <c r="Q31" s="59">
        <v>0.0</v>
      </c>
      <c r="R31" s="60">
        <v>0.0</v>
      </c>
      <c r="S31" s="60">
        <v>0.0</v>
      </c>
      <c r="T31" s="61"/>
      <c r="U31" s="59">
        <v>0.0</v>
      </c>
      <c r="V31" s="62"/>
      <c r="W31" s="62"/>
      <c r="X31" s="62"/>
      <c r="Y31" s="63"/>
      <c r="Z31" s="56"/>
      <c r="AA31" s="40"/>
      <c r="AB31" s="40"/>
      <c r="AC31" s="40"/>
      <c r="AD31" s="40"/>
      <c r="AE31" s="40"/>
    </row>
    <row r="32">
      <c r="A32" s="64"/>
      <c r="B32" s="56"/>
      <c r="C32" s="52">
        <v>0.0</v>
      </c>
      <c r="D32" s="56"/>
      <c r="E32" s="53">
        <v>0.0</v>
      </c>
      <c r="F32" s="54" t="e">
        <v>#DIV/0!</v>
      </c>
      <c r="G32" s="55" t="e">
        <v>#DIV/0!</v>
      </c>
      <c r="H32" s="55" t="e">
        <v>#DIV/0!</v>
      </c>
      <c r="I32" s="55" t="e">
        <v>#DIV/0!</v>
      </c>
      <c r="J32" s="55" t="e">
        <v>#DIV/0!</v>
      </c>
      <c r="K32" s="56"/>
      <c r="L32" s="57">
        <v>0.0</v>
      </c>
      <c r="M32" s="52">
        <v>0.0</v>
      </c>
      <c r="N32" s="65">
        <v>0.0</v>
      </c>
      <c r="O32" s="60">
        <v>0.0</v>
      </c>
      <c r="P32" s="56"/>
      <c r="Q32" s="59">
        <v>0.0</v>
      </c>
      <c r="R32" s="60">
        <v>0.0</v>
      </c>
      <c r="S32" s="60">
        <v>0.0</v>
      </c>
      <c r="T32" s="61"/>
      <c r="U32" s="59">
        <v>0.0</v>
      </c>
      <c r="V32" s="62"/>
      <c r="W32" s="62"/>
      <c r="X32" s="62"/>
      <c r="Y32" s="63"/>
      <c r="Z32" s="56"/>
      <c r="AA32" s="40"/>
      <c r="AB32" s="40"/>
      <c r="AC32" s="40"/>
      <c r="AD32" s="40"/>
      <c r="AE32" s="40"/>
    </row>
    <row r="33">
      <c r="A33" s="64"/>
      <c r="B33" s="56"/>
      <c r="C33" s="52">
        <v>0.0</v>
      </c>
      <c r="D33" s="56"/>
      <c r="E33" s="53">
        <v>0.0</v>
      </c>
      <c r="F33" s="54" t="e">
        <v>#DIV/0!</v>
      </c>
      <c r="G33" s="55" t="e">
        <v>#DIV/0!</v>
      </c>
      <c r="H33" s="55" t="e">
        <v>#DIV/0!</v>
      </c>
      <c r="I33" s="55" t="e">
        <v>#DIV/0!</v>
      </c>
      <c r="J33" s="55" t="e">
        <v>#DIV/0!</v>
      </c>
      <c r="K33" s="56"/>
      <c r="L33" s="57">
        <v>0.0</v>
      </c>
      <c r="M33" s="52">
        <v>0.0</v>
      </c>
      <c r="N33" s="65">
        <v>0.0</v>
      </c>
      <c r="O33" s="60">
        <v>0.0</v>
      </c>
      <c r="P33" s="56"/>
      <c r="Q33" s="59">
        <v>0.0</v>
      </c>
      <c r="R33" s="60">
        <v>0.0</v>
      </c>
      <c r="S33" s="60">
        <v>0.0</v>
      </c>
      <c r="T33" s="61"/>
      <c r="U33" s="59">
        <v>0.0</v>
      </c>
      <c r="V33" s="62"/>
      <c r="W33" s="62"/>
      <c r="X33" s="62"/>
      <c r="Y33" s="63"/>
      <c r="Z33" s="56"/>
      <c r="AA33" s="40"/>
      <c r="AB33" s="40"/>
      <c r="AC33" s="40"/>
      <c r="AD33" s="40"/>
      <c r="AE33" s="40"/>
    </row>
    <row r="34">
      <c r="A34" s="64"/>
      <c r="B34" s="56"/>
      <c r="C34" s="52">
        <v>0.0</v>
      </c>
      <c r="D34" s="56"/>
      <c r="E34" s="53">
        <v>0.0</v>
      </c>
      <c r="F34" s="54" t="e">
        <v>#DIV/0!</v>
      </c>
      <c r="G34" s="55" t="e">
        <v>#DIV/0!</v>
      </c>
      <c r="H34" s="55" t="e">
        <v>#DIV/0!</v>
      </c>
      <c r="I34" s="55" t="e">
        <v>#DIV/0!</v>
      </c>
      <c r="J34" s="55" t="e">
        <v>#DIV/0!</v>
      </c>
      <c r="K34" s="56"/>
      <c r="L34" s="57">
        <v>0.0</v>
      </c>
      <c r="M34" s="52">
        <v>0.0</v>
      </c>
      <c r="N34" s="65">
        <v>0.0</v>
      </c>
      <c r="O34" s="60">
        <v>0.0</v>
      </c>
      <c r="P34" s="56"/>
      <c r="Q34" s="59">
        <v>0.0</v>
      </c>
      <c r="R34" s="60">
        <v>0.0</v>
      </c>
      <c r="S34" s="60">
        <v>0.0</v>
      </c>
      <c r="T34" s="61"/>
      <c r="U34" s="59">
        <v>0.0</v>
      </c>
      <c r="V34" s="62"/>
      <c r="W34" s="62"/>
      <c r="X34" s="62"/>
      <c r="Y34" s="63"/>
      <c r="Z34" s="56"/>
      <c r="AA34" s="40"/>
      <c r="AB34" s="40"/>
      <c r="AC34" s="40"/>
      <c r="AD34" s="40"/>
      <c r="AE34" s="40"/>
    </row>
    <row r="35">
      <c r="A35" s="64"/>
      <c r="B35" s="56"/>
      <c r="C35" s="52">
        <v>0.0</v>
      </c>
      <c r="D35" s="56"/>
      <c r="E35" s="53">
        <v>0.0</v>
      </c>
      <c r="F35" s="54" t="e">
        <v>#DIV/0!</v>
      </c>
      <c r="G35" s="55" t="e">
        <v>#DIV/0!</v>
      </c>
      <c r="H35" s="55" t="e">
        <v>#DIV/0!</v>
      </c>
      <c r="I35" s="55" t="e">
        <v>#DIV/0!</v>
      </c>
      <c r="J35" s="55" t="e">
        <v>#DIV/0!</v>
      </c>
      <c r="K35" s="56"/>
      <c r="L35" s="57">
        <v>0.0</v>
      </c>
      <c r="M35" s="52">
        <v>0.0</v>
      </c>
      <c r="N35" s="65">
        <v>0.0</v>
      </c>
      <c r="O35" s="60">
        <v>0.0</v>
      </c>
      <c r="P35" s="56"/>
      <c r="Q35" s="59">
        <v>0.0</v>
      </c>
      <c r="R35" s="60">
        <v>0.0</v>
      </c>
      <c r="S35" s="60">
        <v>0.0</v>
      </c>
      <c r="T35" s="61"/>
      <c r="U35" s="59">
        <v>0.0</v>
      </c>
      <c r="V35" s="62"/>
      <c r="W35" s="62"/>
      <c r="X35" s="62"/>
      <c r="Y35" s="63"/>
      <c r="Z35" s="56"/>
      <c r="AA35" s="40"/>
      <c r="AB35" s="40"/>
      <c r="AC35" s="40"/>
      <c r="AD35" s="40"/>
      <c r="AE35" s="40"/>
    </row>
    <row r="36">
      <c r="A36" s="64"/>
      <c r="B36" s="56"/>
      <c r="C36" s="52">
        <v>0.0</v>
      </c>
      <c r="D36" s="56"/>
      <c r="E36" s="53">
        <v>0.0</v>
      </c>
      <c r="F36" s="54" t="e">
        <v>#DIV/0!</v>
      </c>
      <c r="G36" s="55" t="e">
        <v>#DIV/0!</v>
      </c>
      <c r="H36" s="55" t="e">
        <v>#DIV/0!</v>
      </c>
      <c r="I36" s="55" t="e">
        <v>#DIV/0!</v>
      </c>
      <c r="J36" s="55" t="e">
        <v>#DIV/0!</v>
      </c>
      <c r="K36" s="56"/>
      <c r="L36" s="57">
        <v>0.0</v>
      </c>
      <c r="M36" s="52">
        <v>0.0</v>
      </c>
      <c r="N36" s="65">
        <v>0.0</v>
      </c>
      <c r="O36" s="60">
        <v>0.0</v>
      </c>
      <c r="P36" s="56"/>
      <c r="Q36" s="59">
        <v>0.0</v>
      </c>
      <c r="R36" s="60">
        <v>0.0</v>
      </c>
      <c r="S36" s="60">
        <v>0.0</v>
      </c>
      <c r="T36" s="61"/>
      <c r="U36" s="59">
        <v>0.0</v>
      </c>
      <c r="V36" s="62"/>
      <c r="W36" s="62"/>
      <c r="X36" s="62"/>
      <c r="Y36" s="63"/>
      <c r="Z36" s="56"/>
      <c r="AA36" s="40"/>
      <c r="AB36" s="40"/>
      <c r="AC36" s="40"/>
      <c r="AD36" s="40"/>
      <c r="AE36" s="40"/>
    </row>
    <row r="37">
      <c r="A37" s="64"/>
      <c r="B37" s="56"/>
      <c r="C37" s="52">
        <v>0.0</v>
      </c>
      <c r="D37" s="56"/>
      <c r="E37" s="53">
        <v>0.0</v>
      </c>
      <c r="F37" s="54" t="e">
        <v>#DIV/0!</v>
      </c>
      <c r="G37" s="55" t="e">
        <v>#DIV/0!</v>
      </c>
      <c r="H37" s="55" t="e">
        <v>#DIV/0!</v>
      </c>
      <c r="I37" s="55" t="e">
        <v>#DIV/0!</v>
      </c>
      <c r="J37" s="55" t="e">
        <v>#DIV/0!</v>
      </c>
      <c r="K37" s="56"/>
      <c r="L37" s="57">
        <v>0.0</v>
      </c>
      <c r="M37" s="52">
        <v>0.0</v>
      </c>
      <c r="N37" s="65">
        <v>0.0</v>
      </c>
      <c r="O37" s="60">
        <v>0.0</v>
      </c>
      <c r="P37" s="56"/>
      <c r="Q37" s="59">
        <v>0.0</v>
      </c>
      <c r="R37" s="60">
        <v>0.0</v>
      </c>
      <c r="S37" s="60">
        <v>0.0</v>
      </c>
      <c r="T37" s="61"/>
      <c r="U37" s="59">
        <v>0.0</v>
      </c>
      <c r="V37" s="62"/>
      <c r="W37" s="62"/>
      <c r="X37" s="62"/>
      <c r="Y37" s="63"/>
      <c r="Z37" s="56"/>
      <c r="AA37" s="40"/>
      <c r="AB37" s="40"/>
      <c r="AC37" s="40"/>
      <c r="AD37" s="40"/>
      <c r="AE37" s="40"/>
    </row>
    <row r="38">
      <c r="A38" s="64"/>
      <c r="B38" s="56"/>
      <c r="C38" s="52">
        <v>0.0</v>
      </c>
      <c r="D38" s="56"/>
      <c r="E38" s="53">
        <v>0.0</v>
      </c>
      <c r="F38" s="54" t="e">
        <v>#DIV/0!</v>
      </c>
      <c r="G38" s="55" t="e">
        <v>#DIV/0!</v>
      </c>
      <c r="H38" s="55" t="e">
        <v>#DIV/0!</v>
      </c>
      <c r="I38" s="55" t="e">
        <v>#DIV/0!</v>
      </c>
      <c r="J38" s="55" t="e">
        <v>#DIV/0!</v>
      </c>
      <c r="K38" s="56"/>
      <c r="L38" s="57">
        <v>0.0</v>
      </c>
      <c r="M38" s="52">
        <v>0.0</v>
      </c>
      <c r="N38" s="65">
        <v>0.0</v>
      </c>
      <c r="O38" s="60">
        <v>0.0</v>
      </c>
      <c r="P38" s="56"/>
      <c r="Q38" s="59">
        <v>0.0</v>
      </c>
      <c r="R38" s="60">
        <v>0.0</v>
      </c>
      <c r="S38" s="60">
        <v>0.0</v>
      </c>
      <c r="T38" s="61"/>
      <c r="U38" s="59">
        <v>0.0</v>
      </c>
      <c r="V38" s="62"/>
      <c r="W38" s="62"/>
      <c r="X38" s="62"/>
      <c r="Y38" s="63"/>
      <c r="Z38" s="56"/>
      <c r="AA38" s="40"/>
      <c r="AB38" s="40"/>
      <c r="AC38" s="40"/>
      <c r="AD38" s="40"/>
      <c r="AE38" s="40"/>
    </row>
    <row r="39">
      <c r="A39" s="64"/>
      <c r="B39" s="56"/>
      <c r="C39" s="52">
        <v>0.0</v>
      </c>
      <c r="D39" s="56"/>
      <c r="E39" s="53">
        <v>0.0</v>
      </c>
      <c r="F39" s="54" t="e">
        <v>#DIV/0!</v>
      </c>
      <c r="G39" s="55" t="e">
        <v>#DIV/0!</v>
      </c>
      <c r="H39" s="55" t="e">
        <v>#DIV/0!</v>
      </c>
      <c r="I39" s="55" t="e">
        <v>#DIV/0!</v>
      </c>
      <c r="J39" s="55" t="e">
        <v>#DIV/0!</v>
      </c>
      <c r="K39" s="56"/>
      <c r="L39" s="57">
        <v>0.0</v>
      </c>
      <c r="M39" s="52">
        <v>0.0</v>
      </c>
      <c r="N39" s="65">
        <v>0.0</v>
      </c>
      <c r="O39" s="60">
        <v>0.0</v>
      </c>
      <c r="P39" s="56"/>
      <c r="Q39" s="59">
        <v>0.0</v>
      </c>
      <c r="R39" s="60">
        <v>0.0</v>
      </c>
      <c r="S39" s="60">
        <v>0.0</v>
      </c>
      <c r="T39" s="61"/>
      <c r="U39" s="59">
        <v>0.0</v>
      </c>
      <c r="V39" s="62"/>
      <c r="W39" s="62"/>
      <c r="X39" s="62"/>
      <c r="Y39" s="63"/>
      <c r="Z39" s="56"/>
      <c r="AA39" s="40"/>
      <c r="AB39" s="40"/>
      <c r="AC39" s="40"/>
      <c r="AD39" s="40"/>
      <c r="AE39" s="40"/>
    </row>
    <row r="40">
      <c r="A40" s="64"/>
      <c r="B40" s="56"/>
      <c r="C40" s="52">
        <v>0.0</v>
      </c>
      <c r="D40" s="56"/>
      <c r="E40" s="53">
        <v>0.0</v>
      </c>
      <c r="F40" s="54" t="e">
        <v>#DIV/0!</v>
      </c>
      <c r="G40" s="55" t="e">
        <v>#DIV/0!</v>
      </c>
      <c r="H40" s="55" t="e">
        <v>#DIV/0!</v>
      </c>
      <c r="I40" s="55" t="e">
        <v>#DIV/0!</v>
      </c>
      <c r="J40" s="55" t="e">
        <v>#DIV/0!</v>
      </c>
      <c r="K40" s="56"/>
      <c r="L40" s="57">
        <v>0.0</v>
      </c>
      <c r="M40" s="52">
        <v>0.0</v>
      </c>
      <c r="N40" s="65">
        <v>0.0</v>
      </c>
      <c r="O40" s="60">
        <v>0.0</v>
      </c>
      <c r="P40" s="56"/>
      <c r="Q40" s="59">
        <v>0.0</v>
      </c>
      <c r="R40" s="60">
        <v>0.0</v>
      </c>
      <c r="S40" s="60">
        <v>0.0</v>
      </c>
      <c r="T40" s="61"/>
      <c r="U40" s="59">
        <v>0.0</v>
      </c>
      <c r="V40" s="62"/>
      <c r="W40" s="62"/>
      <c r="X40" s="62"/>
      <c r="Y40" s="63"/>
      <c r="Z40" s="56"/>
      <c r="AA40" s="40"/>
      <c r="AB40" s="40"/>
      <c r="AC40" s="40"/>
      <c r="AD40" s="40"/>
      <c r="AE40" s="40"/>
    </row>
    <row r="41">
      <c r="A41" s="64"/>
      <c r="B41" s="56"/>
      <c r="C41" s="52">
        <v>0.0</v>
      </c>
      <c r="D41" s="56"/>
      <c r="E41" s="53">
        <v>0.0</v>
      </c>
      <c r="F41" s="54" t="e">
        <v>#DIV/0!</v>
      </c>
      <c r="G41" s="55" t="e">
        <v>#DIV/0!</v>
      </c>
      <c r="H41" s="55" t="e">
        <v>#DIV/0!</v>
      </c>
      <c r="I41" s="55" t="e">
        <v>#DIV/0!</v>
      </c>
      <c r="J41" s="55" t="e">
        <v>#DIV/0!</v>
      </c>
      <c r="K41" s="56"/>
      <c r="L41" s="57">
        <v>0.0</v>
      </c>
      <c r="M41" s="52">
        <v>0.0</v>
      </c>
      <c r="N41" s="65">
        <v>0.0</v>
      </c>
      <c r="O41" s="60">
        <v>0.0</v>
      </c>
      <c r="P41" s="56"/>
      <c r="Q41" s="59">
        <v>0.0</v>
      </c>
      <c r="R41" s="60">
        <v>0.0</v>
      </c>
      <c r="S41" s="60">
        <v>0.0</v>
      </c>
      <c r="T41" s="61"/>
      <c r="U41" s="59">
        <v>0.0</v>
      </c>
      <c r="V41" s="62"/>
      <c r="W41" s="62"/>
      <c r="X41" s="62"/>
      <c r="Y41" s="63"/>
      <c r="Z41" s="56"/>
      <c r="AA41" s="40"/>
      <c r="AB41" s="40"/>
      <c r="AC41" s="40"/>
      <c r="AD41" s="40"/>
      <c r="AE41" s="40"/>
    </row>
    <row r="42">
      <c r="A42" s="64"/>
      <c r="B42" s="56"/>
      <c r="C42" s="52">
        <v>0.0</v>
      </c>
      <c r="D42" s="56"/>
      <c r="E42" s="53">
        <v>0.0</v>
      </c>
      <c r="F42" s="54" t="e">
        <v>#DIV/0!</v>
      </c>
      <c r="G42" s="55" t="e">
        <v>#DIV/0!</v>
      </c>
      <c r="H42" s="55" t="e">
        <v>#DIV/0!</v>
      </c>
      <c r="I42" s="55" t="e">
        <v>#DIV/0!</v>
      </c>
      <c r="J42" s="55" t="e">
        <v>#DIV/0!</v>
      </c>
      <c r="K42" s="56"/>
      <c r="L42" s="57">
        <v>0.0</v>
      </c>
      <c r="M42" s="52">
        <v>0.0</v>
      </c>
      <c r="N42" s="65">
        <v>0.0</v>
      </c>
      <c r="O42" s="60">
        <v>0.0</v>
      </c>
      <c r="P42" s="56"/>
      <c r="Q42" s="59">
        <v>0.0</v>
      </c>
      <c r="R42" s="60">
        <v>0.0</v>
      </c>
      <c r="S42" s="60">
        <v>0.0</v>
      </c>
      <c r="T42" s="61"/>
      <c r="U42" s="59">
        <v>0.0</v>
      </c>
      <c r="V42" s="62"/>
      <c r="W42" s="62"/>
      <c r="X42" s="62"/>
      <c r="Y42" s="63"/>
      <c r="Z42" s="56"/>
      <c r="AA42" s="40"/>
      <c r="AB42" s="40"/>
      <c r="AC42" s="40"/>
      <c r="AD42" s="40"/>
      <c r="AE42" s="40"/>
    </row>
    <row r="43">
      <c r="A43" s="64"/>
      <c r="B43" s="56"/>
      <c r="C43" s="52">
        <v>0.0</v>
      </c>
      <c r="D43" s="56"/>
      <c r="E43" s="53">
        <v>0.0</v>
      </c>
      <c r="F43" s="54" t="e">
        <v>#DIV/0!</v>
      </c>
      <c r="G43" s="55" t="e">
        <v>#DIV/0!</v>
      </c>
      <c r="H43" s="55" t="e">
        <v>#DIV/0!</v>
      </c>
      <c r="I43" s="55" t="e">
        <v>#DIV/0!</v>
      </c>
      <c r="J43" s="55" t="e">
        <v>#DIV/0!</v>
      </c>
      <c r="K43" s="56"/>
      <c r="L43" s="57">
        <v>0.0</v>
      </c>
      <c r="M43" s="52">
        <v>0.0</v>
      </c>
      <c r="N43" s="65">
        <v>0.0</v>
      </c>
      <c r="O43" s="60">
        <v>0.0</v>
      </c>
      <c r="P43" s="56"/>
      <c r="Q43" s="59">
        <v>0.0</v>
      </c>
      <c r="R43" s="60">
        <v>0.0</v>
      </c>
      <c r="S43" s="60">
        <v>0.0</v>
      </c>
      <c r="T43" s="61"/>
      <c r="U43" s="59">
        <v>0.0</v>
      </c>
      <c r="V43" s="62"/>
      <c r="W43" s="62"/>
      <c r="X43" s="62"/>
      <c r="Y43" s="63"/>
      <c r="Z43" s="56"/>
      <c r="AA43" s="40"/>
      <c r="AB43" s="40"/>
      <c r="AC43" s="40"/>
      <c r="AD43" s="40"/>
      <c r="AE43" s="40"/>
    </row>
    <row r="44">
      <c r="A44" s="64"/>
      <c r="B44" s="56"/>
      <c r="C44" s="52">
        <v>0.0</v>
      </c>
      <c r="D44" s="56"/>
      <c r="E44" s="53">
        <v>0.0</v>
      </c>
      <c r="F44" s="54" t="e">
        <v>#DIV/0!</v>
      </c>
      <c r="G44" s="55" t="e">
        <v>#DIV/0!</v>
      </c>
      <c r="H44" s="55" t="e">
        <v>#DIV/0!</v>
      </c>
      <c r="I44" s="55" t="e">
        <v>#DIV/0!</v>
      </c>
      <c r="J44" s="55" t="e">
        <v>#DIV/0!</v>
      </c>
      <c r="K44" s="56"/>
      <c r="L44" s="57">
        <v>0.0</v>
      </c>
      <c r="M44" s="52">
        <v>0.0</v>
      </c>
      <c r="N44" s="65">
        <v>0.0</v>
      </c>
      <c r="O44" s="60">
        <v>0.0</v>
      </c>
      <c r="P44" s="56"/>
      <c r="Q44" s="59">
        <v>0.0</v>
      </c>
      <c r="R44" s="60">
        <v>0.0</v>
      </c>
      <c r="S44" s="60">
        <v>0.0</v>
      </c>
      <c r="T44" s="61"/>
      <c r="U44" s="59">
        <v>0.0</v>
      </c>
      <c r="V44" s="62"/>
      <c r="W44" s="62"/>
      <c r="X44" s="62"/>
      <c r="Y44" s="63"/>
      <c r="Z44" s="56"/>
      <c r="AA44" s="40"/>
      <c r="AB44" s="40"/>
      <c r="AC44" s="40"/>
      <c r="AD44" s="40"/>
      <c r="AE44" s="40"/>
    </row>
    <row r="45">
      <c r="A45" s="64"/>
      <c r="B45" s="56"/>
      <c r="C45" s="52">
        <v>0.0</v>
      </c>
      <c r="D45" s="56"/>
      <c r="E45" s="53">
        <v>0.0</v>
      </c>
      <c r="F45" s="54" t="e">
        <v>#DIV/0!</v>
      </c>
      <c r="G45" s="55" t="e">
        <v>#DIV/0!</v>
      </c>
      <c r="H45" s="55" t="e">
        <v>#DIV/0!</v>
      </c>
      <c r="I45" s="55" t="e">
        <v>#DIV/0!</v>
      </c>
      <c r="J45" s="55" t="e">
        <v>#DIV/0!</v>
      </c>
      <c r="K45" s="56"/>
      <c r="L45" s="57">
        <v>0.0</v>
      </c>
      <c r="M45" s="52">
        <v>0.0</v>
      </c>
      <c r="N45" s="65">
        <v>0.0</v>
      </c>
      <c r="O45" s="60">
        <v>0.0</v>
      </c>
      <c r="P45" s="56"/>
      <c r="Q45" s="59">
        <v>0.0</v>
      </c>
      <c r="R45" s="60">
        <v>0.0</v>
      </c>
      <c r="S45" s="60">
        <v>0.0</v>
      </c>
      <c r="T45" s="61"/>
      <c r="U45" s="59">
        <v>0.0</v>
      </c>
      <c r="V45" s="62"/>
      <c r="W45" s="62"/>
      <c r="X45" s="62"/>
      <c r="Y45" s="63"/>
      <c r="Z45" s="56"/>
      <c r="AA45" s="40"/>
      <c r="AB45" s="40"/>
      <c r="AC45" s="40"/>
      <c r="AD45" s="40"/>
      <c r="AE45" s="40"/>
    </row>
    <row r="46">
      <c r="A46" s="64"/>
      <c r="B46" s="56"/>
      <c r="C46" s="52">
        <v>0.0</v>
      </c>
      <c r="D46" s="56"/>
      <c r="E46" s="53">
        <v>0.0</v>
      </c>
      <c r="F46" s="54" t="e">
        <v>#DIV/0!</v>
      </c>
      <c r="G46" s="55" t="e">
        <v>#DIV/0!</v>
      </c>
      <c r="H46" s="55" t="e">
        <v>#DIV/0!</v>
      </c>
      <c r="I46" s="55" t="e">
        <v>#DIV/0!</v>
      </c>
      <c r="J46" s="55" t="e">
        <v>#DIV/0!</v>
      </c>
      <c r="K46" s="56"/>
      <c r="L46" s="57">
        <v>0.0</v>
      </c>
      <c r="M46" s="52">
        <v>0.0</v>
      </c>
      <c r="N46" s="65">
        <v>0.0</v>
      </c>
      <c r="O46" s="60">
        <v>0.0</v>
      </c>
      <c r="P46" s="56"/>
      <c r="Q46" s="59">
        <v>0.0</v>
      </c>
      <c r="R46" s="60">
        <v>0.0</v>
      </c>
      <c r="S46" s="60">
        <v>0.0</v>
      </c>
      <c r="T46" s="61"/>
      <c r="U46" s="59">
        <v>0.0</v>
      </c>
      <c r="V46" s="62"/>
      <c r="W46" s="62"/>
      <c r="X46" s="62"/>
      <c r="Y46" s="63"/>
      <c r="Z46" s="56"/>
      <c r="AA46" s="40"/>
      <c r="AB46" s="40"/>
      <c r="AC46" s="40"/>
      <c r="AD46" s="40"/>
      <c r="AE46" s="40"/>
    </row>
    <row r="47">
      <c r="A47" s="64"/>
      <c r="B47" s="56"/>
      <c r="C47" s="52">
        <v>0.0</v>
      </c>
      <c r="D47" s="56"/>
      <c r="E47" s="53">
        <v>0.0</v>
      </c>
      <c r="F47" s="54" t="e">
        <v>#DIV/0!</v>
      </c>
      <c r="G47" s="55" t="e">
        <v>#DIV/0!</v>
      </c>
      <c r="H47" s="55" t="e">
        <v>#DIV/0!</v>
      </c>
      <c r="I47" s="55" t="e">
        <v>#DIV/0!</v>
      </c>
      <c r="J47" s="55" t="e">
        <v>#DIV/0!</v>
      </c>
      <c r="K47" s="56"/>
      <c r="L47" s="57">
        <v>0.0</v>
      </c>
      <c r="M47" s="52">
        <v>0.0</v>
      </c>
      <c r="N47" s="65">
        <v>0.0</v>
      </c>
      <c r="O47" s="60">
        <v>0.0</v>
      </c>
      <c r="P47" s="56"/>
      <c r="Q47" s="59">
        <v>0.0</v>
      </c>
      <c r="R47" s="60">
        <v>0.0</v>
      </c>
      <c r="S47" s="60">
        <v>0.0</v>
      </c>
      <c r="T47" s="61"/>
      <c r="U47" s="59">
        <v>0.0</v>
      </c>
      <c r="V47" s="62"/>
      <c r="W47" s="62"/>
      <c r="X47" s="62"/>
      <c r="Y47" s="63"/>
      <c r="Z47" s="56"/>
      <c r="AA47" s="40"/>
      <c r="AB47" s="40"/>
      <c r="AC47" s="40"/>
      <c r="AD47" s="40"/>
      <c r="AE47" s="40"/>
    </row>
    <row r="48">
      <c r="A48" s="64"/>
      <c r="B48" s="56"/>
      <c r="C48" s="52">
        <v>0.0</v>
      </c>
      <c r="D48" s="56"/>
      <c r="E48" s="53">
        <v>0.0</v>
      </c>
      <c r="F48" s="54" t="e">
        <v>#DIV/0!</v>
      </c>
      <c r="G48" s="55" t="e">
        <v>#DIV/0!</v>
      </c>
      <c r="H48" s="55" t="e">
        <v>#DIV/0!</v>
      </c>
      <c r="I48" s="55" t="e">
        <v>#DIV/0!</v>
      </c>
      <c r="J48" s="55" t="e">
        <v>#DIV/0!</v>
      </c>
      <c r="K48" s="56"/>
      <c r="L48" s="57">
        <v>0.0</v>
      </c>
      <c r="M48" s="52">
        <v>0.0</v>
      </c>
      <c r="N48" s="65">
        <v>0.0</v>
      </c>
      <c r="O48" s="60">
        <v>0.0</v>
      </c>
      <c r="P48" s="56"/>
      <c r="Q48" s="59">
        <v>0.0</v>
      </c>
      <c r="R48" s="60">
        <v>0.0</v>
      </c>
      <c r="S48" s="60">
        <v>0.0</v>
      </c>
      <c r="T48" s="61"/>
      <c r="U48" s="59">
        <v>0.0</v>
      </c>
      <c r="V48" s="62"/>
      <c r="W48" s="62"/>
      <c r="X48" s="62"/>
      <c r="Y48" s="63"/>
      <c r="Z48" s="56"/>
      <c r="AA48" s="40"/>
      <c r="AB48" s="40"/>
      <c r="AC48" s="40"/>
      <c r="AD48" s="40"/>
      <c r="AE48" s="40"/>
    </row>
    <row r="49">
      <c r="A49" s="64"/>
      <c r="B49" s="56"/>
      <c r="C49" s="52">
        <v>0.0</v>
      </c>
      <c r="D49" s="56"/>
      <c r="E49" s="53">
        <v>0.0</v>
      </c>
      <c r="F49" s="54" t="e">
        <v>#DIV/0!</v>
      </c>
      <c r="G49" s="55" t="e">
        <v>#DIV/0!</v>
      </c>
      <c r="H49" s="55" t="e">
        <v>#DIV/0!</v>
      </c>
      <c r="I49" s="55" t="e">
        <v>#DIV/0!</v>
      </c>
      <c r="J49" s="55" t="e">
        <v>#DIV/0!</v>
      </c>
      <c r="K49" s="56"/>
      <c r="L49" s="57">
        <v>0.0</v>
      </c>
      <c r="M49" s="52">
        <v>0.0</v>
      </c>
      <c r="N49" s="65">
        <v>0.0</v>
      </c>
      <c r="O49" s="60">
        <v>0.0</v>
      </c>
      <c r="P49" s="56"/>
      <c r="Q49" s="59">
        <v>0.0</v>
      </c>
      <c r="R49" s="60">
        <v>0.0</v>
      </c>
      <c r="S49" s="60">
        <v>0.0</v>
      </c>
      <c r="T49" s="61"/>
      <c r="U49" s="59">
        <v>0.0</v>
      </c>
      <c r="V49" s="62"/>
      <c r="W49" s="62"/>
      <c r="X49" s="62"/>
      <c r="Y49" s="63"/>
      <c r="Z49" s="56"/>
      <c r="AA49" s="40"/>
      <c r="AB49" s="40"/>
      <c r="AC49" s="40"/>
      <c r="AD49" s="40"/>
      <c r="AE49" s="40"/>
    </row>
    <row r="50">
      <c r="A50" s="67" t="s">
        <v>80</v>
      </c>
      <c r="B50" s="68"/>
      <c r="C50" s="68"/>
      <c r="D50" s="68"/>
      <c r="E50" s="68"/>
      <c r="F50" s="68"/>
      <c r="G50" s="69" t="e">
        <v>#DIV/0!</v>
      </c>
      <c r="H50" s="69" t="e">
        <v>#DIV/0!</v>
      </c>
      <c r="I50" s="69" t="e">
        <v>#DIV/0!</v>
      </c>
      <c r="J50" s="69" t="e">
        <v>#DIV/0!</v>
      </c>
      <c r="K50" s="68"/>
      <c r="L50" s="70">
        <v>0.42</v>
      </c>
      <c r="M50" s="71">
        <v>0.05</v>
      </c>
      <c r="N50" s="56"/>
      <c r="O50" s="72" t="e">
        <v>#VALUE!</v>
      </c>
      <c r="P50" s="56"/>
      <c r="Q50" s="56"/>
      <c r="R50" s="73">
        <v>0.0</v>
      </c>
      <c r="S50" s="70" t="e">
        <v>#VALUE!</v>
      </c>
      <c r="T50" s="74"/>
      <c r="U50" s="56"/>
      <c r="V50" s="75"/>
      <c r="W50" s="75"/>
      <c r="X50" s="75"/>
      <c r="Y50" s="76"/>
      <c r="Z50" s="56"/>
      <c r="AA50" s="40"/>
      <c r="AB50" s="40"/>
      <c r="AC50" s="40"/>
      <c r="AD50" s="40"/>
      <c r="AE50" s="40"/>
    </row>
    <row r="51">
      <c r="Z51" s="56"/>
      <c r="AA51" s="40"/>
      <c r="AB51" s="40"/>
      <c r="AC51" s="40"/>
      <c r="AD51" s="40"/>
      <c r="AE51" s="40"/>
    </row>
    <row r="53">
      <c r="A53" s="27" t="s">
        <v>81</v>
      </c>
      <c r="B53" s="27" t="s">
        <v>82</v>
      </c>
      <c r="C53" s="27" t="s">
        <v>72</v>
      </c>
      <c r="D53" s="29"/>
    </row>
    <row r="54">
      <c r="A54" s="27" t="s">
        <v>83</v>
      </c>
      <c r="B54" s="77">
        <v>0.0</v>
      </c>
      <c r="C54" s="78" t="e">
        <v>#VALUE!</v>
      </c>
      <c r="D54" s="38"/>
    </row>
    <row r="55">
      <c r="A55" s="27" t="s">
        <v>84</v>
      </c>
      <c r="B55" s="77">
        <v>0.0</v>
      </c>
      <c r="C55" s="78" t="e">
        <v>#VALUE!</v>
      </c>
      <c r="D55" s="38"/>
    </row>
    <row r="56">
      <c r="A56" s="27" t="s">
        <v>85</v>
      </c>
      <c r="B56" s="77">
        <v>2.0</v>
      </c>
      <c r="C56" s="77">
        <v>2.0</v>
      </c>
      <c r="D56" s="38"/>
    </row>
    <row r="57">
      <c r="A57" s="27" t="s">
        <v>86</v>
      </c>
      <c r="B57" s="77">
        <v>2.0</v>
      </c>
      <c r="C57" s="78" t="e">
        <v>#VALUE!</v>
      </c>
      <c r="D57" s="38"/>
    </row>
    <row r="58">
      <c r="A58" s="27" t="s">
        <v>87</v>
      </c>
      <c r="B58" s="77">
        <v>0.017</v>
      </c>
      <c r="C58" s="78" t="e">
        <v>#VALUE!</v>
      </c>
      <c r="D58" s="38"/>
    </row>
    <row r="59">
      <c r="A59" s="79">
        <v>46006.45489695602</v>
      </c>
      <c r="B59" s="80">
        <v>12.5</v>
      </c>
      <c r="C59" s="80">
        <v>10.0</v>
      </c>
      <c r="D59" s="80">
        <v>250.0</v>
      </c>
      <c r="E59" s="25">
        <v>5.51</v>
      </c>
      <c r="F59" s="25">
        <v>995.34</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c r="B1" s="82" t="s">
        <v>88</v>
      </c>
      <c r="C1" s="81"/>
      <c r="D1" s="83"/>
      <c r="E1" s="83"/>
      <c r="F1" s="83"/>
      <c r="G1" s="83"/>
      <c r="H1" s="83"/>
      <c r="I1" s="83"/>
      <c r="J1" s="83"/>
      <c r="K1" s="83"/>
      <c r="L1" s="83"/>
      <c r="M1" s="83"/>
      <c r="N1" s="83"/>
      <c r="O1" s="83"/>
      <c r="P1" s="83"/>
      <c r="Q1" s="83"/>
      <c r="R1" s="83"/>
      <c r="S1" s="83"/>
      <c r="T1" s="83"/>
      <c r="U1" s="83"/>
      <c r="V1" s="84"/>
      <c r="W1" s="7" t="s">
        <v>89</v>
      </c>
      <c r="X1" s="85">
        <v>1.0</v>
      </c>
    </row>
    <row r="2">
      <c r="A2" s="82" t="s">
        <v>90</v>
      </c>
      <c r="B2" s="81"/>
      <c r="C2" s="81"/>
      <c r="D2" s="86">
        <v>50000.0</v>
      </c>
      <c r="E2" s="86">
        <v>75000.0</v>
      </c>
      <c r="F2" s="86">
        <v>100000.0</v>
      </c>
      <c r="G2" s="86">
        <v>200000.0</v>
      </c>
      <c r="H2" s="86">
        <v>300000.0</v>
      </c>
      <c r="I2" s="86">
        <v>400000.0</v>
      </c>
      <c r="J2" s="86">
        <v>500000.0</v>
      </c>
      <c r="K2" s="86">
        <v>600000.0</v>
      </c>
      <c r="L2" s="86">
        <v>700000.0</v>
      </c>
      <c r="M2" s="86">
        <v>800000.0</v>
      </c>
      <c r="N2" s="86">
        <v>900000.0</v>
      </c>
      <c r="O2" s="86">
        <v>1000000.0</v>
      </c>
      <c r="P2" s="86">
        <v>1500000.0</v>
      </c>
      <c r="Q2" s="86">
        <v>2000000.0</v>
      </c>
      <c r="R2" s="86">
        <v>5000000.0</v>
      </c>
      <c r="S2" s="86">
        <v>1.0E7</v>
      </c>
      <c r="T2" s="86">
        <v>5.0E7</v>
      </c>
      <c r="U2" s="86">
        <v>1.0E8</v>
      </c>
      <c r="V2" s="84"/>
      <c r="W2" s="7" t="s">
        <v>91</v>
      </c>
      <c r="X2" s="87">
        <v>0.88</v>
      </c>
    </row>
    <row r="3">
      <c r="A3" s="81"/>
      <c r="B3" s="82">
        <v>1.0</v>
      </c>
      <c r="C3" s="81"/>
      <c r="D3" s="88">
        <v>0.1</v>
      </c>
      <c r="E3" s="88">
        <v>0.096</v>
      </c>
      <c r="F3" s="88">
        <v>0.078</v>
      </c>
      <c r="G3" s="88">
        <v>0.071</v>
      </c>
      <c r="H3" s="88">
        <v>0.069</v>
      </c>
      <c r="I3" s="88">
        <v>0.068</v>
      </c>
      <c r="J3" s="88">
        <v>0.067</v>
      </c>
      <c r="K3" s="88">
        <v>0.065</v>
      </c>
      <c r="L3" s="88">
        <v>0.064</v>
      </c>
      <c r="M3" s="88">
        <v>0.063</v>
      </c>
      <c r="N3" s="88">
        <v>0.061</v>
      </c>
      <c r="O3" s="88">
        <v>0.06</v>
      </c>
      <c r="P3" s="88">
        <v>0.057</v>
      </c>
      <c r="Q3" s="88">
        <v>0.054</v>
      </c>
      <c r="R3" s="88">
        <v>0.051</v>
      </c>
      <c r="S3" s="88">
        <v>0.048</v>
      </c>
      <c r="T3" s="88">
        <v>0.043</v>
      </c>
      <c r="U3" s="88">
        <v>0.039</v>
      </c>
      <c r="V3" s="84"/>
      <c r="W3" s="84"/>
      <c r="X3" s="84"/>
    </row>
    <row r="4">
      <c r="A4" s="81"/>
      <c r="B4" s="82">
        <v>2.0</v>
      </c>
      <c r="C4" s="81"/>
      <c r="D4" s="89">
        <v>0.101</v>
      </c>
      <c r="E4" s="89">
        <v>0.097</v>
      </c>
      <c r="F4" s="89">
        <v>0.079</v>
      </c>
      <c r="G4" s="89">
        <v>0.071</v>
      </c>
      <c r="H4" s="89">
        <v>0.07</v>
      </c>
      <c r="I4" s="89">
        <v>0.069</v>
      </c>
      <c r="J4" s="89">
        <v>0.067</v>
      </c>
      <c r="K4" s="89">
        <v>0.066</v>
      </c>
      <c r="L4" s="89">
        <v>0.065</v>
      </c>
      <c r="M4" s="89">
        <v>0.063</v>
      </c>
      <c r="N4" s="89">
        <v>0.062</v>
      </c>
      <c r="O4" s="89">
        <v>0.061</v>
      </c>
      <c r="P4" s="89">
        <v>0.058</v>
      </c>
      <c r="Q4" s="89">
        <v>0.055</v>
      </c>
      <c r="R4" s="89">
        <v>0.051</v>
      </c>
      <c r="S4" s="89">
        <v>0.048</v>
      </c>
      <c r="T4" s="89">
        <v>0.044</v>
      </c>
      <c r="U4" s="89">
        <v>0.039</v>
      </c>
      <c r="V4" s="84"/>
      <c r="W4" s="84"/>
      <c r="X4" s="84"/>
    </row>
    <row r="5">
      <c r="A5" s="81"/>
      <c r="B5" s="82">
        <v>3.0</v>
      </c>
      <c r="C5" s="81"/>
      <c r="D5" s="88">
        <v>0.102</v>
      </c>
      <c r="E5" s="88">
        <v>0.098</v>
      </c>
      <c r="F5" s="88">
        <v>0.079</v>
      </c>
      <c r="G5" s="88">
        <v>0.072</v>
      </c>
      <c r="H5" s="88">
        <v>0.071</v>
      </c>
      <c r="I5" s="88">
        <v>0.069</v>
      </c>
      <c r="J5" s="88">
        <v>0.068</v>
      </c>
      <c r="K5" s="88">
        <v>0.067</v>
      </c>
      <c r="L5" s="88">
        <v>0.065</v>
      </c>
      <c r="M5" s="88">
        <v>0.064</v>
      </c>
      <c r="N5" s="88">
        <v>0.063</v>
      </c>
      <c r="O5" s="88">
        <v>0.061</v>
      </c>
      <c r="P5" s="88">
        <v>0.058</v>
      </c>
      <c r="Q5" s="88">
        <v>0.055</v>
      </c>
      <c r="R5" s="88">
        <v>0.052</v>
      </c>
      <c r="S5" s="88">
        <v>0.049</v>
      </c>
      <c r="T5" s="88">
        <v>0.044</v>
      </c>
      <c r="U5" s="88">
        <v>0.04</v>
      </c>
      <c r="V5" s="84"/>
      <c r="W5" s="84"/>
      <c r="X5" s="84"/>
    </row>
    <row r="6">
      <c r="A6" s="81"/>
      <c r="B6" s="82">
        <v>4.0</v>
      </c>
      <c r="C6" s="81"/>
      <c r="D6" s="89">
        <v>0.103</v>
      </c>
      <c r="E6" s="89">
        <v>0.099</v>
      </c>
      <c r="F6" s="89">
        <v>0.08</v>
      </c>
      <c r="G6" s="89">
        <v>0.073</v>
      </c>
      <c r="H6" s="89">
        <v>0.071</v>
      </c>
      <c r="I6" s="89">
        <v>0.07</v>
      </c>
      <c r="J6" s="89">
        <v>0.069</v>
      </c>
      <c r="K6" s="89">
        <v>0.067</v>
      </c>
      <c r="L6" s="89">
        <v>0.066</v>
      </c>
      <c r="M6" s="89">
        <v>0.065</v>
      </c>
      <c r="N6" s="89">
        <v>0.063</v>
      </c>
      <c r="O6" s="89">
        <v>0.062</v>
      </c>
      <c r="P6" s="89">
        <v>0.059</v>
      </c>
      <c r="Q6" s="89">
        <v>0.056</v>
      </c>
      <c r="R6" s="89">
        <v>0.052</v>
      </c>
      <c r="S6" s="89">
        <v>0.049</v>
      </c>
      <c r="T6" s="89">
        <v>0.045</v>
      </c>
      <c r="U6" s="89">
        <v>0.04</v>
      </c>
      <c r="V6" s="84"/>
      <c r="W6" s="84"/>
      <c r="X6" s="84"/>
    </row>
    <row r="7">
      <c r="A7" s="81"/>
      <c r="B7" s="82">
        <v>5.0</v>
      </c>
      <c r="C7" s="81"/>
      <c r="D7" s="88">
        <v>0.104</v>
      </c>
      <c r="E7" s="88">
        <v>0.1</v>
      </c>
      <c r="F7" s="88">
        <v>0.081</v>
      </c>
      <c r="G7" s="88">
        <v>0.074</v>
      </c>
      <c r="H7" s="88">
        <v>0.072</v>
      </c>
      <c r="I7" s="88">
        <v>0.071</v>
      </c>
      <c r="J7" s="88">
        <v>0.069</v>
      </c>
      <c r="K7" s="88">
        <v>0.068</v>
      </c>
      <c r="L7" s="88">
        <v>0.067</v>
      </c>
      <c r="M7" s="88">
        <v>0.065</v>
      </c>
      <c r="N7" s="88">
        <v>0.064</v>
      </c>
      <c r="O7" s="88">
        <v>0.063</v>
      </c>
      <c r="P7" s="88">
        <v>0.06</v>
      </c>
      <c r="Q7" s="88">
        <v>0.057</v>
      </c>
      <c r="R7" s="88">
        <v>0.053</v>
      </c>
      <c r="S7" s="88">
        <v>0.05</v>
      </c>
      <c r="T7" s="88">
        <v>0.045</v>
      </c>
      <c r="U7" s="88">
        <v>0.04</v>
      </c>
      <c r="V7" s="84"/>
      <c r="W7" s="84"/>
      <c r="X7" s="84"/>
    </row>
    <row r="8">
      <c r="A8" s="81"/>
      <c r="B8" s="82">
        <v>6.0</v>
      </c>
      <c r="C8" s="81"/>
      <c r="D8" s="89">
        <v>0.107</v>
      </c>
      <c r="E8" s="89">
        <v>0.103</v>
      </c>
      <c r="F8" s="89">
        <v>0.083</v>
      </c>
      <c r="G8" s="89">
        <v>0.076</v>
      </c>
      <c r="H8" s="89">
        <v>0.074</v>
      </c>
      <c r="I8" s="89">
        <v>0.073</v>
      </c>
      <c r="J8" s="89">
        <v>0.071</v>
      </c>
      <c r="K8" s="89">
        <v>0.07</v>
      </c>
      <c r="L8" s="89">
        <v>0.069</v>
      </c>
      <c r="M8" s="89">
        <v>0.067</v>
      </c>
      <c r="N8" s="89">
        <v>0.066</v>
      </c>
      <c r="O8" s="89">
        <v>0.065</v>
      </c>
      <c r="P8" s="89">
        <v>0.061</v>
      </c>
      <c r="Q8" s="89">
        <v>0.058</v>
      </c>
      <c r="R8" s="89">
        <v>0.054</v>
      </c>
      <c r="S8" s="89">
        <v>0.051</v>
      </c>
      <c r="T8" s="89">
        <v>0.046</v>
      </c>
      <c r="U8" s="89">
        <v>0.042</v>
      </c>
      <c r="V8" s="84"/>
      <c r="W8" s="84"/>
      <c r="X8" s="84"/>
    </row>
    <row r="9">
      <c r="A9" s="81"/>
      <c r="B9" s="82">
        <v>7.0</v>
      </c>
      <c r="C9" s="81"/>
      <c r="D9" s="90">
        <v>0.11</v>
      </c>
      <c r="E9" s="88">
        <v>0.106</v>
      </c>
      <c r="F9" s="88">
        <v>0.086</v>
      </c>
      <c r="G9" s="88">
        <v>0.078</v>
      </c>
      <c r="H9" s="88">
        <v>0.077</v>
      </c>
      <c r="I9" s="88">
        <v>0.075</v>
      </c>
      <c r="J9" s="88">
        <v>0.074</v>
      </c>
      <c r="K9" s="88">
        <v>0.072</v>
      </c>
      <c r="L9" s="88">
        <v>0.071</v>
      </c>
      <c r="M9" s="88">
        <v>0.069</v>
      </c>
      <c r="N9" s="88">
        <v>0.068</v>
      </c>
      <c r="O9" s="88">
        <v>0.066</v>
      </c>
      <c r="P9" s="88">
        <v>0.063</v>
      </c>
      <c r="Q9" s="88">
        <v>0.06</v>
      </c>
      <c r="R9" s="88">
        <v>0.056</v>
      </c>
      <c r="S9" s="88">
        <v>0.053</v>
      </c>
      <c r="T9" s="88">
        <v>0.048</v>
      </c>
      <c r="U9" s="88">
        <v>0.043</v>
      </c>
      <c r="V9" s="84"/>
      <c r="W9" s="84"/>
      <c r="X9" s="84"/>
    </row>
    <row r="10">
      <c r="A10" s="81"/>
      <c r="B10" s="82">
        <v>8.0</v>
      </c>
      <c r="C10" s="81"/>
      <c r="D10" s="89">
        <v>0.114</v>
      </c>
      <c r="E10" s="89">
        <v>0.109</v>
      </c>
      <c r="F10" s="89">
        <v>0.088</v>
      </c>
      <c r="G10" s="89">
        <v>0.08</v>
      </c>
      <c r="H10" s="89">
        <v>0.079</v>
      </c>
      <c r="I10" s="89">
        <v>0.077</v>
      </c>
      <c r="J10" s="89">
        <v>0.076</v>
      </c>
      <c r="K10" s="89">
        <v>0.074</v>
      </c>
      <c r="L10" s="89">
        <v>0.073</v>
      </c>
      <c r="M10" s="89">
        <v>0.071</v>
      </c>
      <c r="N10" s="89">
        <v>0.07</v>
      </c>
      <c r="O10" s="89">
        <v>0.068</v>
      </c>
      <c r="P10" s="89">
        <v>0.065</v>
      </c>
      <c r="Q10" s="89">
        <v>0.062</v>
      </c>
      <c r="R10" s="89">
        <v>0.057</v>
      </c>
      <c r="S10" s="89">
        <v>0.055</v>
      </c>
      <c r="T10" s="89">
        <v>0.049</v>
      </c>
      <c r="U10" s="89">
        <v>0.044</v>
      </c>
      <c r="V10" s="84"/>
      <c r="W10" s="84"/>
      <c r="X10" s="84"/>
    </row>
    <row r="11">
      <c r="A11" s="81"/>
      <c r="B11" s="82">
        <v>9.0</v>
      </c>
      <c r="C11" s="81"/>
      <c r="D11" s="90">
        <v>0.117</v>
      </c>
      <c r="E11" s="88">
        <v>0.112</v>
      </c>
      <c r="F11" s="88">
        <v>0.091</v>
      </c>
      <c r="G11" s="88">
        <v>0.083</v>
      </c>
      <c r="H11" s="88">
        <v>0.081</v>
      </c>
      <c r="I11" s="88">
        <v>0.08</v>
      </c>
      <c r="J11" s="88">
        <v>0.078</v>
      </c>
      <c r="K11" s="88">
        <v>0.076</v>
      </c>
      <c r="L11" s="88">
        <v>0.075</v>
      </c>
      <c r="M11" s="88">
        <v>0.073</v>
      </c>
      <c r="N11" s="88">
        <v>0.072</v>
      </c>
      <c r="O11" s="88">
        <v>0.071</v>
      </c>
      <c r="P11" s="88">
        <v>0.067</v>
      </c>
      <c r="Q11" s="88">
        <v>0.064</v>
      </c>
      <c r="R11" s="88">
        <v>0.059</v>
      </c>
      <c r="S11" s="88">
        <v>0.056</v>
      </c>
      <c r="T11" s="88">
        <v>0.051</v>
      </c>
      <c r="U11" s="88">
        <v>0.046</v>
      </c>
      <c r="V11" s="84"/>
      <c r="W11" s="84"/>
      <c r="X11" s="84"/>
    </row>
    <row r="12">
      <c r="A12" s="81"/>
      <c r="B12" s="82">
        <v>10.0</v>
      </c>
      <c r="C12" s="81"/>
      <c r="D12" s="89">
        <v>0.121</v>
      </c>
      <c r="E12" s="89">
        <v>0.116</v>
      </c>
      <c r="F12" s="89">
        <v>0.094</v>
      </c>
      <c r="G12" s="89">
        <v>0.085</v>
      </c>
      <c r="H12" s="89">
        <v>0.084</v>
      </c>
      <c r="I12" s="89">
        <v>0.082</v>
      </c>
      <c r="J12" s="89">
        <v>0.08</v>
      </c>
      <c r="K12" s="89">
        <v>0.079</v>
      </c>
      <c r="L12" s="89">
        <v>0.077</v>
      </c>
      <c r="M12" s="89">
        <v>0.076</v>
      </c>
      <c r="N12" s="89">
        <v>0.074</v>
      </c>
      <c r="O12" s="89">
        <v>0.073</v>
      </c>
      <c r="P12" s="89">
        <v>0.069</v>
      </c>
      <c r="Q12" s="89">
        <v>0.066</v>
      </c>
      <c r="R12" s="89">
        <v>0.061</v>
      </c>
      <c r="S12" s="89">
        <v>0.058</v>
      </c>
      <c r="T12" s="89">
        <v>0.052</v>
      </c>
      <c r="U12" s="89">
        <v>0.047</v>
      </c>
      <c r="V12" s="84"/>
      <c r="W12" s="84"/>
      <c r="X12" s="84"/>
    </row>
    <row r="13">
      <c r="A13" s="81"/>
      <c r="B13" s="82">
        <v>11.0</v>
      </c>
      <c r="C13" s="81"/>
      <c r="D13" s="88">
        <v>0.127</v>
      </c>
      <c r="E13" s="88">
        <v>0.122</v>
      </c>
      <c r="F13" s="88">
        <v>0.098</v>
      </c>
      <c r="G13" s="88">
        <v>0.09</v>
      </c>
      <c r="H13" s="88">
        <v>0.088</v>
      </c>
      <c r="I13" s="88">
        <v>0.086</v>
      </c>
      <c r="J13" s="88">
        <v>0.084</v>
      </c>
      <c r="K13" s="88">
        <v>0.083</v>
      </c>
      <c r="L13" s="88">
        <v>0.081</v>
      </c>
      <c r="M13" s="88">
        <v>0.079</v>
      </c>
      <c r="N13" s="88">
        <v>0.078</v>
      </c>
      <c r="O13" s="88">
        <v>0.076</v>
      </c>
      <c r="P13" s="88">
        <v>0.072</v>
      </c>
      <c r="Q13" s="88">
        <v>0.069</v>
      </c>
      <c r="R13" s="88">
        <v>0.064</v>
      </c>
      <c r="S13" s="88">
        <v>0.061</v>
      </c>
      <c r="T13" s="88">
        <v>0.055</v>
      </c>
      <c r="U13" s="88">
        <v>0.049</v>
      </c>
      <c r="V13" s="84"/>
      <c r="W13" s="84"/>
      <c r="X13" s="84"/>
    </row>
    <row r="14">
      <c r="A14" s="81"/>
      <c r="B14" s="82">
        <v>12.0</v>
      </c>
      <c r="C14" s="81"/>
      <c r="D14" s="89">
        <v>0.133</v>
      </c>
      <c r="E14" s="89">
        <v>0.128</v>
      </c>
      <c r="F14" s="89">
        <v>0.103</v>
      </c>
      <c r="G14" s="89">
        <v>0.094</v>
      </c>
      <c r="H14" s="89">
        <v>0.092</v>
      </c>
      <c r="I14" s="89">
        <v>0.09</v>
      </c>
      <c r="J14" s="89">
        <v>0.089</v>
      </c>
      <c r="K14" s="89">
        <v>0.087</v>
      </c>
      <c r="L14" s="89">
        <v>0.085</v>
      </c>
      <c r="M14" s="89">
        <v>0.083</v>
      </c>
      <c r="N14" s="89">
        <v>0.082</v>
      </c>
      <c r="O14" s="89">
        <v>0.08</v>
      </c>
      <c r="P14" s="89">
        <v>0.076</v>
      </c>
      <c r="Q14" s="89">
        <v>0.072</v>
      </c>
      <c r="R14" s="89">
        <v>0.067</v>
      </c>
      <c r="S14" s="89">
        <v>0.064</v>
      </c>
      <c r="T14" s="89">
        <v>0.057</v>
      </c>
      <c r="U14" s="89">
        <v>0.052</v>
      </c>
      <c r="V14" s="84"/>
      <c r="W14" s="84"/>
      <c r="X14" s="84"/>
    </row>
    <row r="15">
      <c r="A15" s="81"/>
      <c r="B15" s="82">
        <v>13.0</v>
      </c>
      <c r="C15" s="81"/>
      <c r="D15" s="88">
        <v>0.14</v>
      </c>
      <c r="E15" s="88">
        <v>0.134</v>
      </c>
      <c r="F15" s="88">
        <v>0.109</v>
      </c>
      <c r="G15" s="88">
        <v>0.099</v>
      </c>
      <c r="H15" s="88">
        <v>0.097</v>
      </c>
      <c r="I15" s="88">
        <v>0.095</v>
      </c>
      <c r="J15" s="88">
        <v>0.093</v>
      </c>
      <c r="K15" s="88">
        <v>0.091</v>
      </c>
      <c r="L15" s="88">
        <v>0.089</v>
      </c>
      <c r="M15" s="88">
        <v>0.088</v>
      </c>
      <c r="N15" s="88">
        <v>0.086</v>
      </c>
      <c r="O15" s="88">
        <v>0.084</v>
      </c>
      <c r="P15" s="88">
        <v>0.08</v>
      </c>
      <c r="Q15" s="88">
        <v>0.076</v>
      </c>
      <c r="R15" s="88">
        <v>0.071</v>
      </c>
      <c r="S15" s="88">
        <v>0.067</v>
      </c>
      <c r="T15" s="88">
        <v>0.06</v>
      </c>
      <c r="U15" s="88">
        <v>0.054</v>
      </c>
      <c r="V15" s="84"/>
      <c r="W15" s="84"/>
      <c r="X15" s="84"/>
    </row>
    <row r="16">
      <c r="A16" s="81"/>
      <c r="B16" s="82">
        <v>14.0</v>
      </c>
      <c r="C16" s="81"/>
      <c r="D16" s="89">
        <v>0.147</v>
      </c>
      <c r="E16" s="89">
        <v>0.141</v>
      </c>
      <c r="F16" s="89">
        <v>0.114</v>
      </c>
      <c r="G16" s="89">
        <v>0.104</v>
      </c>
      <c r="H16" s="89">
        <v>0.102</v>
      </c>
      <c r="I16" s="89">
        <v>0.1</v>
      </c>
      <c r="J16" s="89">
        <v>0.098</v>
      </c>
      <c r="K16" s="89">
        <v>0.096</v>
      </c>
      <c r="L16" s="89">
        <v>0.094</v>
      </c>
      <c r="M16" s="89">
        <v>0.092</v>
      </c>
      <c r="N16" s="89">
        <v>0.09</v>
      </c>
      <c r="O16" s="89">
        <v>0.088</v>
      </c>
      <c r="P16" s="89">
        <v>0.084</v>
      </c>
      <c r="Q16" s="89">
        <v>0.08</v>
      </c>
      <c r="R16" s="89">
        <v>0.074</v>
      </c>
      <c r="S16" s="89">
        <v>0.07</v>
      </c>
      <c r="T16" s="89">
        <v>0.063</v>
      </c>
      <c r="U16" s="89">
        <v>0.057</v>
      </c>
      <c r="V16" s="84"/>
      <c r="W16" s="84"/>
      <c r="X16" s="84"/>
    </row>
    <row r="17">
      <c r="A17" s="81"/>
      <c r="B17" s="82">
        <v>15.0</v>
      </c>
      <c r="C17" s="81"/>
      <c r="D17" s="88">
        <v>0.154</v>
      </c>
      <c r="E17" s="88">
        <v>0.148</v>
      </c>
      <c r="F17" s="88">
        <v>0.12</v>
      </c>
      <c r="G17" s="88">
        <v>0.109</v>
      </c>
      <c r="H17" s="88">
        <v>0.107</v>
      </c>
      <c r="I17" s="88">
        <v>0.105</v>
      </c>
      <c r="J17" s="88">
        <v>0.103</v>
      </c>
      <c r="K17" s="88">
        <v>0.1</v>
      </c>
      <c r="L17" s="88">
        <v>0.098</v>
      </c>
      <c r="M17" s="88">
        <v>0.097</v>
      </c>
      <c r="N17" s="88">
        <v>0.095</v>
      </c>
      <c r="O17" s="88">
        <v>0.093</v>
      </c>
      <c r="P17" s="88">
        <v>0.088</v>
      </c>
      <c r="Q17" s="88">
        <v>0.084</v>
      </c>
      <c r="R17" s="88">
        <v>0.078</v>
      </c>
      <c r="S17" s="88">
        <v>0.074</v>
      </c>
      <c r="T17" s="88">
        <v>0.067</v>
      </c>
      <c r="U17" s="88">
        <v>0.06</v>
      </c>
      <c r="V17" s="84"/>
      <c r="W17" s="84"/>
      <c r="X17" s="84"/>
    </row>
    <row r="18">
      <c r="A18" s="81"/>
      <c r="B18" s="82">
        <v>16.0</v>
      </c>
      <c r="C18" s="81"/>
      <c r="D18" s="89">
        <v>0.165</v>
      </c>
      <c r="E18" s="89">
        <v>0.158</v>
      </c>
      <c r="F18" s="89">
        <v>0.128</v>
      </c>
      <c r="G18" s="89">
        <v>0.117</v>
      </c>
      <c r="H18" s="89">
        <v>0.114</v>
      </c>
      <c r="I18" s="89">
        <v>0.112</v>
      </c>
      <c r="J18" s="89">
        <v>0.11</v>
      </c>
      <c r="K18" s="89">
        <v>0.108</v>
      </c>
      <c r="L18" s="89">
        <v>0.105</v>
      </c>
      <c r="M18" s="89">
        <v>0.103</v>
      </c>
      <c r="N18" s="89">
        <v>0.101</v>
      </c>
      <c r="O18" s="89">
        <v>0.099</v>
      </c>
      <c r="P18" s="89">
        <v>0.094</v>
      </c>
      <c r="Q18" s="89">
        <v>0.09</v>
      </c>
      <c r="R18" s="89">
        <v>0.083</v>
      </c>
      <c r="S18" s="89">
        <v>0.079</v>
      </c>
      <c r="T18" s="89">
        <v>0.071</v>
      </c>
      <c r="U18" s="89">
        <v>0.064</v>
      </c>
      <c r="V18" s="84"/>
      <c r="W18" s="84"/>
      <c r="X18" s="84"/>
    </row>
    <row r="19">
      <c r="A19" s="81"/>
      <c r="B19" s="82">
        <v>17.0</v>
      </c>
      <c r="C19" s="81"/>
      <c r="D19" s="90">
        <v>0.176</v>
      </c>
      <c r="E19" s="88">
        <v>0.169</v>
      </c>
      <c r="F19" s="88">
        <v>0.137</v>
      </c>
      <c r="G19" s="88">
        <v>0.125</v>
      </c>
      <c r="H19" s="88">
        <v>0.122</v>
      </c>
      <c r="I19" s="88">
        <v>0.12</v>
      </c>
      <c r="J19" s="88">
        <v>0.117</v>
      </c>
      <c r="K19" s="88">
        <v>0.115</v>
      </c>
      <c r="L19" s="88">
        <v>0.113</v>
      </c>
      <c r="M19" s="88">
        <v>0.11</v>
      </c>
      <c r="N19" s="88">
        <v>0.108</v>
      </c>
      <c r="O19" s="88">
        <v>0.106</v>
      </c>
      <c r="P19" s="88">
        <v>0.101</v>
      </c>
      <c r="Q19" s="88">
        <v>0.096</v>
      </c>
      <c r="R19" s="88">
        <v>0.089</v>
      </c>
      <c r="S19" s="88">
        <v>0.085</v>
      </c>
      <c r="T19" s="88">
        <v>0.076</v>
      </c>
      <c r="U19" s="88">
        <v>0.069</v>
      </c>
      <c r="V19" s="84"/>
      <c r="W19" s="84"/>
      <c r="X19" s="84"/>
    </row>
    <row r="20">
      <c r="A20" s="81"/>
      <c r="B20" s="82">
        <v>18.0</v>
      </c>
      <c r="C20" s="81"/>
      <c r="D20" s="89">
        <v>0.189</v>
      </c>
      <c r="E20" s="89">
        <v>0.181</v>
      </c>
      <c r="F20" s="89">
        <v>0.147</v>
      </c>
      <c r="G20" s="89">
        <v>0.133</v>
      </c>
      <c r="H20" s="89">
        <v>0.131</v>
      </c>
      <c r="I20" s="89">
        <v>0.128</v>
      </c>
      <c r="J20" s="89">
        <v>0.126</v>
      </c>
      <c r="K20" s="89">
        <v>0.123</v>
      </c>
      <c r="L20" s="89">
        <v>0.121</v>
      </c>
      <c r="M20" s="89">
        <v>0.118</v>
      </c>
      <c r="N20" s="89">
        <v>0.116</v>
      </c>
      <c r="O20" s="89">
        <v>0.114</v>
      </c>
      <c r="P20" s="89">
        <v>0.108</v>
      </c>
      <c r="Q20" s="89">
        <v>0.102</v>
      </c>
      <c r="R20" s="89">
        <v>0.095</v>
      </c>
      <c r="S20" s="89">
        <v>0.091</v>
      </c>
      <c r="T20" s="89">
        <v>0.081</v>
      </c>
      <c r="U20" s="89">
        <v>0.073</v>
      </c>
      <c r="V20" s="84"/>
      <c r="W20" s="84"/>
      <c r="X20" s="84"/>
    </row>
    <row r="21">
      <c r="A21" s="81"/>
      <c r="B21" s="82">
        <v>19.0</v>
      </c>
      <c r="C21" s="81"/>
      <c r="D21" s="90">
        <v>0.202</v>
      </c>
      <c r="E21" s="88">
        <v>0.194</v>
      </c>
      <c r="F21" s="88">
        <v>0.157</v>
      </c>
      <c r="G21" s="88">
        <v>0.143</v>
      </c>
      <c r="H21" s="88">
        <v>0.14</v>
      </c>
      <c r="I21" s="88">
        <v>0.137</v>
      </c>
      <c r="J21" s="88">
        <v>0.134</v>
      </c>
      <c r="K21" s="88">
        <v>0.132</v>
      </c>
      <c r="L21" s="88">
        <v>0.129</v>
      </c>
      <c r="M21" s="88">
        <v>0.127</v>
      </c>
      <c r="N21" s="88">
        <v>0.124</v>
      </c>
      <c r="O21" s="88">
        <v>0.121</v>
      </c>
      <c r="P21" s="88">
        <v>0.115</v>
      </c>
      <c r="Q21" s="88">
        <v>0.11</v>
      </c>
      <c r="R21" s="88">
        <v>0.102</v>
      </c>
      <c r="S21" s="88">
        <v>0.097</v>
      </c>
      <c r="T21" s="88">
        <v>0.087</v>
      </c>
      <c r="U21" s="88">
        <v>0.078</v>
      </c>
      <c r="V21" s="84"/>
      <c r="W21" s="84"/>
      <c r="X21" s="84"/>
    </row>
    <row r="22">
      <c r="A22" s="81"/>
      <c r="B22" s="82">
        <v>20.0</v>
      </c>
      <c r="C22" s="81"/>
      <c r="D22" s="89">
        <v>0.216</v>
      </c>
      <c r="E22" s="89">
        <v>0.207</v>
      </c>
      <c r="F22" s="89">
        <v>0.168</v>
      </c>
      <c r="G22" s="89">
        <v>0.153</v>
      </c>
      <c r="H22" s="89">
        <v>0.15</v>
      </c>
      <c r="I22" s="89">
        <v>0.147</v>
      </c>
      <c r="J22" s="89">
        <v>0.144</v>
      </c>
      <c r="K22" s="89">
        <v>0.141</v>
      </c>
      <c r="L22" s="89">
        <v>0.138</v>
      </c>
      <c r="M22" s="89">
        <v>0.135</v>
      </c>
      <c r="N22" s="89">
        <v>0.133</v>
      </c>
      <c r="O22" s="89">
        <v>0.13</v>
      </c>
      <c r="P22" s="89">
        <v>0.123</v>
      </c>
      <c r="Q22" s="89">
        <v>0.117</v>
      </c>
      <c r="R22" s="89">
        <v>0.109</v>
      </c>
      <c r="S22" s="89">
        <v>0.104</v>
      </c>
      <c r="T22" s="89">
        <v>0.093</v>
      </c>
      <c r="U22" s="89">
        <v>0.084</v>
      </c>
      <c r="V22" s="84"/>
      <c r="W22" s="84"/>
      <c r="X22" s="84"/>
    </row>
    <row r="23">
      <c r="A23" s="91"/>
      <c r="B23" s="84"/>
      <c r="C23" s="84"/>
      <c r="D23" s="92"/>
      <c r="E23" s="92"/>
      <c r="F23" s="92"/>
      <c r="G23" s="92"/>
      <c r="H23" s="92"/>
      <c r="I23" s="92"/>
      <c r="J23" s="92"/>
      <c r="K23" s="92"/>
      <c r="L23" s="92"/>
      <c r="M23" s="92"/>
      <c r="N23" s="92"/>
      <c r="O23" s="92"/>
      <c r="P23" s="92"/>
      <c r="Q23" s="92"/>
      <c r="R23" s="92"/>
      <c r="S23" s="92"/>
      <c r="T23" s="92"/>
      <c r="U23" s="92"/>
      <c r="V23" s="84"/>
      <c r="W23" s="84"/>
      <c r="X23" s="84"/>
    </row>
    <row r="24">
      <c r="A24" s="93" t="s">
        <v>92</v>
      </c>
      <c r="I24" s="92"/>
      <c r="J24" s="92"/>
      <c r="K24" s="92"/>
      <c r="L24" s="92"/>
      <c r="M24" s="92"/>
      <c r="N24" s="92"/>
      <c r="O24" s="92"/>
      <c r="P24" s="92"/>
      <c r="Q24" s="92"/>
      <c r="R24" s="92"/>
      <c r="S24" s="92"/>
      <c r="T24" s="92"/>
      <c r="U24" s="92"/>
      <c r="V24" s="84"/>
      <c r="W24" s="84"/>
      <c r="X24" s="84"/>
    </row>
    <row r="25">
      <c r="A25" s="94" t="s">
        <v>93</v>
      </c>
      <c r="B25" s="95">
        <v>5.0</v>
      </c>
      <c r="C25" s="95">
        <v>10.0</v>
      </c>
      <c r="D25" s="95">
        <v>12.0</v>
      </c>
      <c r="E25" s="95">
        <v>15.0</v>
      </c>
      <c r="F25" s="95">
        <v>20.0</v>
      </c>
      <c r="G25" s="95">
        <v>25.0</v>
      </c>
      <c r="H25" s="95">
        <v>30.0</v>
      </c>
      <c r="I25" s="95">
        <v>35.0</v>
      </c>
      <c r="J25" s="95">
        <v>40.0</v>
      </c>
      <c r="K25" s="95">
        <v>45.0</v>
      </c>
      <c r="L25" s="95">
        <v>50.0</v>
      </c>
      <c r="M25" s="96" t="s">
        <v>94</v>
      </c>
      <c r="N25" s="92"/>
      <c r="O25" s="92"/>
      <c r="P25" s="92"/>
      <c r="Q25" s="92"/>
      <c r="R25" s="92"/>
      <c r="S25" s="92"/>
      <c r="T25" s="92"/>
      <c r="U25" s="92"/>
      <c r="V25" s="84"/>
      <c r="W25" s="84"/>
      <c r="X25" s="84"/>
    </row>
    <row r="26">
      <c r="A26" s="94" t="s">
        <v>95</v>
      </c>
      <c r="B26" s="97">
        <v>0.04</v>
      </c>
      <c r="C26" s="97">
        <v>0.04</v>
      </c>
      <c r="D26" s="97">
        <v>0.04</v>
      </c>
      <c r="E26" s="97">
        <v>0.04</v>
      </c>
      <c r="F26" s="97">
        <v>0.035</v>
      </c>
      <c r="G26" s="97">
        <v>0.035</v>
      </c>
      <c r="H26" s="97">
        <v>0.035</v>
      </c>
      <c r="I26" s="97">
        <v>0.035</v>
      </c>
      <c r="J26" s="97">
        <v>0.03</v>
      </c>
      <c r="K26" s="97">
        <v>0.03</v>
      </c>
      <c r="L26" s="97">
        <v>0.03</v>
      </c>
      <c r="M26" s="92"/>
      <c r="N26" s="92"/>
      <c r="O26" s="92"/>
      <c r="P26" s="92"/>
      <c r="Q26" s="92"/>
      <c r="R26" s="92"/>
      <c r="S26" s="92"/>
      <c r="T26" s="92"/>
      <c r="U26" s="92"/>
      <c r="V26" s="84"/>
      <c r="W26" s="84"/>
      <c r="X26" s="84"/>
    </row>
    <row r="27">
      <c r="A27" s="94" t="s">
        <v>96</v>
      </c>
      <c r="B27" s="97">
        <v>0.035</v>
      </c>
      <c r="C27" s="97">
        <v>0.035</v>
      </c>
      <c r="D27" s="97">
        <v>0.035</v>
      </c>
      <c r="E27" s="97">
        <v>0.035</v>
      </c>
      <c r="F27" s="97">
        <v>0.03</v>
      </c>
      <c r="G27" s="97">
        <v>0.03</v>
      </c>
      <c r="H27" s="97">
        <v>0.03</v>
      </c>
      <c r="I27" s="97">
        <v>0.03</v>
      </c>
      <c r="J27" s="97">
        <v>0.025</v>
      </c>
      <c r="K27" s="97">
        <v>0.025</v>
      </c>
      <c r="L27" s="97">
        <v>0.025</v>
      </c>
      <c r="M27" s="92"/>
      <c r="N27" s="92"/>
      <c r="O27" s="92"/>
      <c r="P27" s="92"/>
      <c r="Q27" s="92"/>
      <c r="R27" s="92"/>
      <c r="S27" s="92"/>
      <c r="T27" s="92"/>
      <c r="U27" s="92"/>
      <c r="V27" s="84"/>
      <c r="W27" s="84"/>
      <c r="X27" s="84"/>
    </row>
    <row r="28">
      <c r="A28" s="94" t="s">
        <v>97</v>
      </c>
      <c r="B28" s="97">
        <v>0.035</v>
      </c>
      <c r="C28" s="97">
        <v>0.035</v>
      </c>
      <c r="D28" s="97">
        <v>0.035</v>
      </c>
      <c r="E28" s="97">
        <v>0.035</v>
      </c>
      <c r="F28" s="97">
        <v>0.03</v>
      </c>
      <c r="G28" s="97">
        <v>0.03</v>
      </c>
      <c r="H28" s="97">
        <v>0.03</v>
      </c>
      <c r="I28" s="97">
        <v>0.03</v>
      </c>
      <c r="J28" s="97">
        <v>0.025</v>
      </c>
      <c r="K28" s="97">
        <v>0.025</v>
      </c>
      <c r="L28" s="97">
        <v>0.025</v>
      </c>
      <c r="M28" s="92"/>
      <c r="N28" s="92"/>
      <c r="O28" s="92"/>
      <c r="P28" s="92"/>
      <c r="Q28" s="92"/>
      <c r="R28" s="92"/>
      <c r="S28" s="92"/>
      <c r="T28" s="92"/>
      <c r="U28" s="92"/>
      <c r="V28" s="84"/>
      <c r="W28" s="84"/>
      <c r="X28" s="84"/>
    </row>
    <row r="29">
      <c r="A29" s="98"/>
      <c r="B29" s="99" t="s">
        <v>98</v>
      </c>
      <c r="C29" s="99" t="s">
        <v>99</v>
      </c>
      <c r="D29" s="99" t="s">
        <v>100</v>
      </c>
      <c r="E29" s="99" t="s">
        <v>101</v>
      </c>
      <c r="F29" s="99" t="s">
        <v>102</v>
      </c>
      <c r="G29" s="99" t="s">
        <v>103</v>
      </c>
      <c r="H29" s="99" t="s">
        <v>104</v>
      </c>
      <c r="I29" s="99" t="s">
        <v>105</v>
      </c>
      <c r="J29" s="99" t="s">
        <v>106</v>
      </c>
      <c r="K29" s="99" t="s">
        <v>107</v>
      </c>
      <c r="L29" s="99" t="s">
        <v>108</v>
      </c>
      <c r="M29" s="96" t="s">
        <v>94</v>
      </c>
      <c r="N29" s="92"/>
      <c r="O29" s="92"/>
      <c r="P29" s="92"/>
      <c r="Q29" s="92"/>
      <c r="R29" s="92"/>
      <c r="S29" s="92"/>
      <c r="T29" s="92"/>
      <c r="U29" s="92"/>
      <c r="V29" s="84"/>
      <c r="W29" s="84"/>
      <c r="X29" s="84"/>
    </row>
    <row r="30">
      <c r="A30" s="100" t="s">
        <v>109</v>
      </c>
      <c r="B30" s="97">
        <v>0.01</v>
      </c>
      <c r="C30" s="97">
        <v>0.015</v>
      </c>
      <c r="D30" s="97">
        <v>0.02</v>
      </c>
      <c r="E30" s="97">
        <v>0.03</v>
      </c>
      <c r="F30" s="97">
        <v>0.04</v>
      </c>
      <c r="G30" s="97">
        <v>0.05</v>
      </c>
      <c r="H30" s="97">
        <v>0.06</v>
      </c>
      <c r="I30" s="97">
        <v>0.07</v>
      </c>
      <c r="J30" s="97">
        <v>0.08</v>
      </c>
      <c r="K30" s="97">
        <v>0.09</v>
      </c>
      <c r="L30" s="97">
        <v>0.1</v>
      </c>
      <c r="M30" s="92"/>
      <c r="N30" s="92"/>
      <c r="O30" s="92"/>
      <c r="P30" s="92"/>
      <c r="Q30" s="92"/>
      <c r="R30" s="92"/>
      <c r="S30" s="92"/>
      <c r="T30" s="92"/>
      <c r="U30" s="92"/>
      <c r="V30" s="84"/>
      <c r="W30" s="84"/>
      <c r="X30" s="84"/>
    </row>
    <row r="31">
      <c r="A31" s="101" t="s">
        <v>110</v>
      </c>
      <c r="B31" s="84"/>
      <c r="C31" s="84"/>
      <c r="D31" s="84"/>
      <c r="E31" s="84"/>
      <c r="F31" s="84"/>
      <c r="G31" s="84"/>
      <c r="H31" s="84"/>
      <c r="I31" s="84"/>
      <c r="J31" s="84"/>
      <c r="K31" s="84"/>
      <c r="L31" s="84"/>
      <c r="M31" s="84"/>
      <c r="N31" s="84"/>
      <c r="O31" s="84"/>
      <c r="P31" s="84"/>
      <c r="Q31" s="84"/>
      <c r="R31" s="84"/>
      <c r="S31" s="84"/>
      <c r="T31" s="92"/>
      <c r="U31" s="92"/>
      <c r="V31" s="84"/>
      <c r="W31" s="84"/>
      <c r="X31" s="84"/>
    </row>
    <row r="32">
      <c r="A32" s="94" t="s">
        <v>111</v>
      </c>
      <c r="B32" s="102">
        <v>1000.0</v>
      </c>
      <c r="C32" s="98"/>
      <c r="D32" s="102">
        <v>2000.0</v>
      </c>
      <c r="E32" s="102">
        <v>3000.0</v>
      </c>
      <c r="F32" s="102">
        <v>4000.0</v>
      </c>
      <c r="G32" s="102">
        <v>5000.0</v>
      </c>
      <c r="H32" s="102">
        <v>10000.0</v>
      </c>
      <c r="I32" s="102">
        <v>15000.0</v>
      </c>
      <c r="J32" s="102">
        <v>20000.0</v>
      </c>
      <c r="K32" s="102">
        <v>25000.0</v>
      </c>
      <c r="L32" s="102">
        <v>30000.0</v>
      </c>
      <c r="M32" s="102">
        <v>40000.0</v>
      </c>
      <c r="N32" s="102">
        <v>50000.0</v>
      </c>
      <c r="O32" s="102">
        <v>60000.0</v>
      </c>
      <c r="P32" s="102">
        <v>70000.0</v>
      </c>
      <c r="Q32" s="102">
        <v>80000.0</v>
      </c>
      <c r="R32" s="102">
        <v>90000.0</v>
      </c>
      <c r="S32" s="102">
        <v>100000.0</v>
      </c>
      <c r="T32" s="92"/>
      <c r="U32" s="92"/>
      <c r="V32" s="84"/>
      <c r="W32" s="103" t="s">
        <v>112</v>
      </c>
      <c r="X32" s="103" t="s">
        <v>113</v>
      </c>
    </row>
    <row r="33">
      <c r="A33" s="104">
        <v>30.0</v>
      </c>
      <c r="B33" s="105">
        <v>4.5</v>
      </c>
      <c r="C33" s="84"/>
      <c r="D33" s="105">
        <v>3.27</v>
      </c>
      <c r="E33" s="105">
        <v>2.75</v>
      </c>
      <c r="F33" s="105">
        <v>2.45</v>
      </c>
      <c r="G33" s="105">
        <v>2.24</v>
      </c>
      <c r="H33" s="105">
        <v>1.75</v>
      </c>
      <c r="I33" s="105">
        <v>1.54</v>
      </c>
      <c r="J33" s="105">
        <v>1.42</v>
      </c>
      <c r="K33" s="105">
        <v>1.34</v>
      </c>
      <c r="L33" s="105">
        <v>1.28</v>
      </c>
      <c r="M33" s="105">
        <v>1.2</v>
      </c>
      <c r="N33" s="105">
        <v>1.14</v>
      </c>
      <c r="O33" s="105">
        <v>1.1</v>
      </c>
      <c r="P33" s="105">
        <v>1.07</v>
      </c>
      <c r="Q33" s="105">
        <v>1.05</v>
      </c>
      <c r="R33" s="105">
        <v>1.03</v>
      </c>
      <c r="S33" s="105">
        <v>1.0</v>
      </c>
      <c r="T33" s="92"/>
      <c r="U33" s="92"/>
      <c r="V33" s="84"/>
      <c r="W33" s="106" t="s">
        <v>114</v>
      </c>
      <c r="X33" s="107" t="s">
        <v>115</v>
      </c>
    </row>
    <row r="34">
      <c r="A34" s="104">
        <v>60.0</v>
      </c>
      <c r="B34" s="105">
        <v>6.0</v>
      </c>
      <c r="C34" s="84"/>
      <c r="D34" s="105">
        <v>4.45</v>
      </c>
      <c r="E34" s="105">
        <v>3.79</v>
      </c>
      <c r="F34" s="105">
        <v>3.4</v>
      </c>
      <c r="G34" s="105">
        <v>3.14</v>
      </c>
      <c r="H34" s="105">
        <v>2.5</v>
      </c>
      <c r="I34" s="105">
        <v>2.23</v>
      </c>
      <c r="J34" s="105">
        <v>2.07</v>
      </c>
      <c r="K34" s="105">
        <v>1.96</v>
      </c>
      <c r="L34" s="105">
        <v>1.88</v>
      </c>
      <c r="M34" s="105">
        <v>1.77</v>
      </c>
      <c r="N34" s="105">
        <v>1.7</v>
      </c>
      <c r="O34" s="105">
        <v>1.64</v>
      </c>
      <c r="P34" s="105">
        <v>1.6</v>
      </c>
      <c r="Q34" s="105">
        <v>1.57</v>
      </c>
      <c r="R34" s="105">
        <v>1.54</v>
      </c>
      <c r="S34" s="105">
        <v>1.75</v>
      </c>
      <c r="T34" s="92"/>
      <c r="U34" s="92"/>
      <c r="V34" s="84"/>
      <c r="W34" s="106" t="s">
        <v>114</v>
      </c>
      <c r="X34" s="107" t="s">
        <v>116</v>
      </c>
    </row>
    <row r="35">
      <c r="A35" s="104">
        <v>90.0</v>
      </c>
      <c r="B35" s="105">
        <v>7.5</v>
      </c>
      <c r="C35" s="84"/>
      <c r="D35" s="105">
        <v>5.63</v>
      </c>
      <c r="E35" s="105">
        <v>4.83</v>
      </c>
      <c r="F35" s="105">
        <v>4.35</v>
      </c>
      <c r="G35" s="105">
        <v>4.03</v>
      </c>
      <c r="H35" s="105">
        <v>3.25</v>
      </c>
      <c r="I35" s="105">
        <v>2.91</v>
      </c>
      <c r="J35" s="105">
        <v>2.71</v>
      </c>
      <c r="K35" s="105">
        <v>2.58</v>
      </c>
      <c r="L35" s="105">
        <v>2.48</v>
      </c>
      <c r="M35" s="105">
        <v>2.35</v>
      </c>
      <c r="N35" s="105">
        <v>2.25</v>
      </c>
      <c r="O35" s="105">
        <v>2.19</v>
      </c>
      <c r="P35" s="105">
        <v>2.14</v>
      </c>
      <c r="Q35" s="105">
        <v>2.09</v>
      </c>
      <c r="R35" s="105">
        <v>2.06</v>
      </c>
      <c r="S35" s="105">
        <v>2.5</v>
      </c>
      <c r="T35" s="92"/>
      <c r="U35" s="92"/>
      <c r="V35" s="84"/>
      <c r="W35" s="106" t="s">
        <v>114</v>
      </c>
      <c r="X35" s="107">
        <v>0.0</v>
      </c>
    </row>
    <row r="36">
      <c r="A36" s="104">
        <v>120.0</v>
      </c>
      <c r="B36" s="105">
        <v>9.0</v>
      </c>
      <c r="C36" s="84"/>
      <c r="D36" s="105">
        <v>6.81</v>
      </c>
      <c r="E36" s="105">
        <v>5.86</v>
      </c>
      <c r="F36" s="105">
        <v>5.3</v>
      </c>
      <c r="G36" s="105">
        <v>4.93</v>
      </c>
      <c r="H36" s="105">
        <v>4.0</v>
      </c>
      <c r="I36" s="105">
        <v>3.6</v>
      </c>
      <c r="J36" s="105">
        <v>3.36</v>
      </c>
      <c r="K36" s="105">
        <v>3.2</v>
      </c>
      <c r="L36" s="105">
        <v>3.08</v>
      </c>
      <c r="M36" s="105">
        <v>2.92</v>
      </c>
      <c r="N36" s="105">
        <v>2.81</v>
      </c>
      <c r="O36" s="105">
        <v>2.73</v>
      </c>
      <c r="P36" s="105">
        <v>2.67</v>
      </c>
      <c r="Q36" s="105">
        <v>2.62</v>
      </c>
      <c r="R36" s="105">
        <v>2.58</v>
      </c>
      <c r="S36" s="105">
        <v>3.25</v>
      </c>
      <c r="T36" s="92"/>
      <c r="U36" s="92"/>
      <c r="V36" s="84"/>
      <c r="W36" s="106" t="s">
        <v>114</v>
      </c>
      <c r="X36" s="107" t="s">
        <v>117</v>
      </c>
    </row>
    <row r="37">
      <c r="A37" s="104">
        <v>180.0</v>
      </c>
      <c r="B37" s="105">
        <v>12.0</v>
      </c>
      <c r="C37" s="84"/>
      <c r="D37" s="105">
        <v>9.17</v>
      </c>
      <c r="E37" s="105">
        <v>7.94</v>
      </c>
      <c r="F37" s="105">
        <v>7.21</v>
      </c>
      <c r="G37" s="105">
        <v>6.71</v>
      </c>
      <c r="H37" s="105">
        <v>5.5</v>
      </c>
      <c r="I37" s="105">
        <v>4.97</v>
      </c>
      <c r="J37" s="105">
        <v>4.66</v>
      </c>
      <c r="K37" s="105">
        <v>4.44</v>
      </c>
      <c r="L37" s="105">
        <v>4.29</v>
      </c>
      <c r="M37" s="105">
        <v>4.07</v>
      </c>
      <c r="N37" s="105">
        <v>3.92</v>
      </c>
      <c r="O37" s="105">
        <v>3.81</v>
      </c>
      <c r="P37" s="105">
        <v>3.73</v>
      </c>
      <c r="Q37" s="105">
        <v>3.66</v>
      </c>
      <c r="R37" s="105">
        <v>3.61</v>
      </c>
      <c r="S37" s="105">
        <v>4.75</v>
      </c>
      <c r="T37" s="92"/>
      <c r="U37" s="92"/>
      <c r="V37" s="84"/>
      <c r="W37" s="106" t="s">
        <v>114</v>
      </c>
      <c r="X37" s="107">
        <v>0.0</v>
      </c>
    </row>
    <row r="38">
      <c r="A38" s="104">
        <v>300.0</v>
      </c>
      <c r="B38" s="105">
        <v>18.0</v>
      </c>
      <c r="C38" s="84"/>
      <c r="D38" s="105">
        <v>13.89</v>
      </c>
      <c r="E38" s="105">
        <v>12.09</v>
      </c>
      <c r="F38" s="105">
        <v>11.02</v>
      </c>
      <c r="G38" s="105">
        <v>10.29</v>
      </c>
      <c r="H38" s="105">
        <v>8.5</v>
      </c>
      <c r="I38" s="105">
        <v>7.71</v>
      </c>
      <c r="J38" s="105">
        <v>7.25</v>
      </c>
      <c r="K38" s="105">
        <v>6.93</v>
      </c>
      <c r="L38" s="105">
        <v>6.7</v>
      </c>
      <c r="M38" s="105">
        <v>6.37</v>
      </c>
      <c r="N38" s="105">
        <v>6.15</v>
      </c>
      <c r="O38" s="105">
        <v>5.98</v>
      </c>
      <c r="P38" s="105">
        <v>5.86</v>
      </c>
      <c r="Q38" s="105">
        <v>5.75</v>
      </c>
      <c r="R38" s="105">
        <v>5.67</v>
      </c>
      <c r="S38" s="105">
        <v>7.75</v>
      </c>
      <c r="T38" s="92"/>
      <c r="U38" s="92"/>
      <c r="V38" s="84"/>
      <c r="W38" s="106" t="s">
        <v>114</v>
      </c>
      <c r="X38" s="107">
        <v>1.0</v>
      </c>
    </row>
    <row r="39">
      <c r="A39" s="101" t="s">
        <v>118</v>
      </c>
      <c r="B39" s="84"/>
      <c r="C39" s="84"/>
      <c r="D39" s="84"/>
      <c r="E39" s="84"/>
      <c r="F39" s="84"/>
      <c r="G39" s="84"/>
      <c r="H39" s="84"/>
      <c r="I39" s="84"/>
      <c r="J39" s="84"/>
      <c r="K39" s="84"/>
      <c r="L39" s="84"/>
      <c r="M39" s="84"/>
      <c r="N39" s="84"/>
      <c r="O39" s="84"/>
      <c r="P39" s="84"/>
      <c r="Q39" s="84"/>
      <c r="R39" s="84"/>
      <c r="S39" s="84"/>
      <c r="T39" s="92"/>
      <c r="U39" s="92"/>
      <c r="V39" s="84"/>
      <c r="W39" s="106" t="s">
        <v>114</v>
      </c>
      <c r="X39" s="107">
        <v>2.0</v>
      </c>
    </row>
    <row r="40">
      <c r="A40" s="108" t="s">
        <v>119</v>
      </c>
      <c r="K40" s="84"/>
      <c r="L40" s="84"/>
      <c r="M40" s="84"/>
      <c r="N40" s="84"/>
      <c r="O40" s="84"/>
      <c r="P40" s="84"/>
      <c r="Q40" s="84"/>
      <c r="R40" s="84"/>
      <c r="S40" s="84"/>
      <c r="T40" s="92"/>
      <c r="U40" s="92"/>
      <c r="V40" s="84"/>
      <c r="W40" s="106" t="s">
        <v>114</v>
      </c>
      <c r="X40" s="107">
        <v>3.0</v>
      </c>
    </row>
    <row r="41">
      <c r="A41" s="94" t="s">
        <v>111</v>
      </c>
      <c r="B41" s="102">
        <v>1000.0</v>
      </c>
      <c r="C41" s="98"/>
      <c r="D41" s="102">
        <v>2000.0</v>
      </c>
      <c r="E41" s="102">
        <v>3000.0</v>
      </c>
      <c r="F41" s="102">
        <v>4000.0</v>
      </c>
      <c r="G41" s="102">
        <v>5000.0</v>
      </c>
      <c r="H41" s="102">
        <v>10000.0</v>
      </c>
      <c r="I41" s="102">
        <v>15000.0</v>
      </c>
      <c r="J41" s="102">
        <v>20000.0</v>
      </c>
      <c r="K41" s="102">
        <v>25000.0</v>
      </c>
      <c r="L41" s="102">
        <v>30000.0</v>
      </c>
      <c r="M41" s="102">
        <v>40000.0</v>
      </c>
      <c r="N41" s="102">
        <v>50000.0</v>
      </c>
      <c r="O41" s="102">
        <v>60000.0</v>
      </c>
      <c r="P41" s="102">
        <v>70000.0</v>
      </c>
      <c r="Q41" s="102">
        <v>80000.0</v>
      </c>
      <c r="R41" s="102">
        <v>90000.0</v>
      </c>
      <c r="S41" s="102">
        <v>100000.0</v>
      </c>
      <c r="T41" s="92"/>
      <c r="U41" s="92"/>
      <c r="V41" s="84"/>
      <c r="W41" s="106" t="s">
        <v>114</v>
      </c>
      <c r="X41" s="107">
        <v>4.0</v>
      </c>
    </row>
    <row r="42">
      <c r="A42" s="104">
        <v>30.0</v>
      </c>
      <c r="B42" s="105">
        <v>4.95</v>
      </c>
      <c r="C42" s="84"/>
      <c r="D42" s="105">
        <v>3.6</v>
      </c>
      <c r="E42" s="105">
        <v>3.02</v>
      </c>
      <c r="F42" s="105">
        <v>2.7</v>
      </c>
      <c r="G42" s="105">
        <v>2.46</v>
      </c>
      <c r="H42" s="105">
        <v>1.93</v>
      </c>
      <c r="I42" s="105">
        <v>1.69</v>
      </c>
      <c r="J42" s="105">
        <v>1.56</v>
      </c>
      <c r="K42" s="105">
        <v>1.47</v>
      </c>
      <c r="L42" s="105">
        <v>1.41</v>
      </c>
      <c r="M42" s="105">
        <v>1.32</v>
      </c>
      <c r="N42" s="105">
        <v>1.25</v>
      </c>
      <c r="O42" s="105">
        <v>1.21</v>
      </c>
      <c r="P42" s="105">
        <v>1.18</v>
      </c>
      <c r="Q42" s="105">
        <v>1.15</v>
      </c>
      <c r="R42" s="105">
        <v>1.13</v>
      </c>
      <c r="S42" s="105">
        <v>1.1</v>
      </c>
      <c r="T42" s="92"/>
      <c r="U42" s="92"/>
      <c r="V42" s="84"/>
      <c r="W42" s="106" t="s">
        <v>120</v>
      </c>
      <c r="X42" s="107">
        <v>0.0</v>
      </c>
    </row>
    <row r="43">
      <c r="A43" s="104">
        <v>60.0</v>
      </c>
      <c r="B43" s="105">
        <v>6.6</v>
      </c>
      <c r="C43" s="84"/>
      <c r="D43" s="105">
        <v>4.9</v>
      </c>
      <c r="E43" s="105">
        <v>4.17</v>
      </c>
      <c r="F43" s="105">
        <v>3.74</v>
      </c>
      <c r="G43" s="105">
        <v>3.45</v>
      </c>
      <c r="H43" s="105">
        <v>2.75</v>
      </c>
      <c r="I43" s="105">
        <v>2.45</v>
      </c>
      <c r="J43" s="105">
        <v>2.28</v>
      </c>
      <c r="K43" s="105">
        <v>2.16</v>
      </c>
      <c r="L43" s="105">
        <v>2.07</v>
      </c>
      <c r="M43" s="105">
        <v>1.95</v>
      </c>
      <c r="N43" s="105">
        <v>1.87</v>
      </c>
      <c r="O43" s="105">
        <v>1.81</v>
      </c>
      <c r="P43" s="105">
        <v>1.76</v>
      </c>
      <c r="Q43" s="105">
        <v>1.72</v>
      </c>
      <c r="R43" s="105">
        <v>1.7</v>
      </c>
      <c r="S43" s="105">
        <v>1.93</v>
      </c>
      <c r="T43" s="92"/>
      <c r="U43" s="92"/>
      <c r="V43" s="84"/>
      <c r="W43" s="106" t="s">
        <v>120</v>
      </c>
      <c r="X43" s="107" t="s">
        <v>121</v>
      </c>
    </row>
    <row r="44">
      <c r="A44" s="104">
        <v>90.0</v>
      </c>
      <c r="B44" s="105">
        <v>8.25</v>
      </c>
      <c r="C44" s="84"/>
      <c r="D44" s="105">
        <v>6.19</v>
      </c>
      <c r="E44" s="105">
        <v>5.31</v>
      </c>
      <c r="F44" s="105">
        <v>4.79</v>
      </c>
      <c r="G44" s="105">
        <v>4.43</v>
      </c>
      <c r="H44" s="105">
        <v>3.58</v>
      </c>
      <c r="I44" s="105">
        <v>3.2</v>
      </c>
      <c r="J44" s="105">
        <v>2.98</v>
      </c>
      <c r="K44" s="105">
        <v>2.83</v>
      </c>
      <c r="L44" s="105">
        <v>2.72</v>
      </c>
      <c r="M44" s="105">
        <v>2.59</v>
      </c>
      <c r="N44" s="105">
        <v>2.47</v>
      </c>
      <c r="O44" s="105">
        <v>2.41</v>
      </c>
      <c r="P44" s="105">
        <v>2.35</v>
      </c>
      <c r="Q44" s="105">
        <v>2.3</v>
      </c>
      <c r="R44" s="105">
        <v>2.27</v>
      </c>
      <c r="S44" s="105">
        <v>2.75</v>
      </c>
      <c r="T44" s="92"/>
      <c r="U44" s="92"/>
      <c r="V44" s="84"/>
      <c r="W44" s="106" t="s">
        <v>120</v>
      </c>
      <c r="X44" s="107" t="s">
        <v>122</v>
      </c>
    </row>
    <row r="45">
      <c r="A45" s="104">
        <v>120.0</v>
      </c>
      <c r="B45" s="105">
        <v>9.9</v>
      </c>
      <c r="C45" s="84"/>
      <c r="D45" s="105">
        <v>7.49</v>
      </c>
      <c r="E45" s="105">
        <v>6.44</v>
      </c>
      <c r="F45" s="105">
        <v>5.83</v>
      </c>
      <c r="G45" s="105">
        <v>5.42</v>
      </c>
      <c r="H45" s="105">
        <v>4.4</v>
      </c>
      <c r="I45" s="105">
        <v>3.96</v>
      </c>
      <c r="J45" s="105">
        <v>3.7</v>
      </c>
      <c r="K45" s="105">
        <v>3.52</v>
      </c>
      <c r="L45" s="105">
        <v>3.39</v>
      </c>
      <c r="M45" s="105">
        <v>3.21</v>
      </c>
      <c r="N45" s="105">
        <v>3.09</v>
      </c>
      <c r="O45" s="105">
        <v>3.0</v>
      </c>
      <c r="P45" s="105">
        <v>2.94</v>
      </c>
      <c r="Q45" s="105">
        <v>2.88</v>
      </c>
      <c r="R45" s="105">
        <v>2.83</v>
      </c>
      <c r="S45" s="105">
        <v>3.58</v>
      </c>
      <c r="T45" s="92"/>
      <c r="U45" s="92"/>
      <c r="V45" s="84"/>
      <c r="W45" s="106" t="s">
        <v>120</v>
      </c>
      <c r="X45" s="107">
        <v>0.0</v>
      </c>
    </row>
    <row r="46">
      <c r="A46" s="104">
        <v>180.0</v>
      </c>
      <c r="B46" s="105">
        <v>13.2</v>
      </c>
      <c r="C46" s="84"/>
      <c r="D46" s="105">
        <v>10.09</v>
      </c>
      <c r="E46" s="105">
        <v>8.73</v>
      </c>
      <c r="F46" s="105">
        <v>7.93</v>
      </c>
      <c r="G46" s="105">
        <v>7.38</v>
      </c>
      <c r="H46" s="105">
        <v>6.05</v>
      </c>
      <c r="I46" s="105">
        <v>5.47</v>
      </c>
      <c r="J46" s="105">
        <v>5.13</v>
      </c>
      <c r="K46" s="105">
        <v>4.88</v>
      </c>
      <c r="L46" s="105">
        <v>4.72</v>
      </c>
      <c r="M46" s="105">
        <v>4.48</v>
      </c>
      <c r="N46" s="105">
        <v>4.31</v>
      </c>
      <c r="O46" s="105">
        <v>4.19</v>
      </c>
      <c r="P46" s="105">
        <v>4.1</v>
      </c>
      <c r="Q46" s="105">
        <v>4.03</v>
      </c>
      <c r="R46" s="105">
        <v>3.97</v>
      </c>
      <c r="S46" s="105">
        <v>5.23</v>
      </c>
      <c r="T46" s="92"/>
      <c r="U46" s="92"/>
      <c r="V46" s="84"/>
      <c r="W46" s="106" t="s">
        <v>120</v>
      </c>
      <c r="X46" s="107" t="s">
        <v>123</v>
      </c>
    </row>
    <row r="47">
      <c r="A47" s="104">
        <v>300.0</v>
      </c>
      <c r="B47" s="105">
        <v>19.8</v>
      </c>
      <c r="C47" s="84"/>
      <c r="D47" s="105">
        <v>15.28</v>
      </c>
      <c r="E47" s="105">
        <v>13.3</v>
      </c>
      <c r="F47" s="105">
        <v>12.12</v>
      </c>
      <c r="G47" s="105">
        <v>11.32</v>
      </c>
      <c r="H47" s="105">
        <v>9.35</v>
      </c>
      <c r="I47" s="105">
        <v>8.48</v>
      </c>
      <c r="J47" s="105">
        <v>7.97</v>
      </c>
      <c r="K47" s="105">
        <v>7.62</v>
      </c>
      <c r="L47" s="105">
        <v>7.37</v>
      </c>
      <c r="M47" s="105">
        <v>7.01</v>
      </c>
      <c r="N47" s="105">
        <v>6.76</v>
      </c>
      <c r="O47" s="105">
        <v>6.58</v>
      </c>
      <c r="P47" s="105">
        <v>6.44</v>
      </c>
      <c r="Q47" s="105">
        <v>6.33</v>
      </c>
      <c r="R47" s="105">
        <v>6.24</v>
      </c>
      <c r="S47" s="105">
        <v>8.53</v>
      </c>
      <c r="T47" s="92"/>
      <c r="U47" s="92"/>
      <c r="V47" s="84"/>
      <c r="W47" s="106" t="s">
        <v>120</v>
      </c>
      <c r="X47" s="107" t="s">
        <v>124</v>
      </c>
    </row>
    <row r="48">
      <c r="A48" s="91"/>
      <c r="B48" s="84"/>
      <c r="C48" s="84"/>
      <c r="D48" s="92"/>
      <c r="E48" s="92"/>
      <c r="F48" s="92"/>
      <c r="G48" s="92"/>
      <c r="H48" s="92"/>
      <c r="I48" s="92"/>
      <c r="J48" s="92"/>
      <c r="K48" s="92"/>
      <c r="L48" s="92"/>
      <c r="M48" s="92"/>
      <c r="N48" s="92"/>
      <c r="O48" s="92"/>
      <c r="P48" s="92"/>
      <c r="Q48" s="92"/>
      <c r="R48" s="92"/>
      <c r="S48" s="92"/>
      <c r="T48" s="92"/>
      <c r="U48" s="92"/>
      <c r="V48" s="84"/>
      <c r="W48" s="106" t="s">
        <v>120</v>
      </c>
      <c r="X48" s="107">
        <v>0.0</v>
      </c>
    </row>
    <row r="49">
      <c r="A49" s="101" t="s">
        <v>125</v>
      </c>
      <c r="C49" s="84"/>
      <c r="D49" s="92"/>
      <c r="E49" s="92"/>
      <c r="F49" s="92"/>
      <c r="G49" s="92"/>
      <c r="H49" s="92"/>
      <c r="I49" s="92"/>
      <c r="J49" s="92"/>
      <c r="K49" s="92"/>
      <c r="L49" s="92"/>
      <c r="M49" s="92"/>
      <c r="N49" s="92"/>
      <c r="O49" s="92"/>
      <c r="P49" s="92"/>
      <c r="Q49" s="92"/>
      <c r="R49" s="92"/>
      <c r="S49" s="92"/>
      <c r="T49" s="92"/>
      <c r="U49" s="92"/>
      <c r="V49" s="84"/>
      <c r="W49" s="106" t="s">
        <v>120</v>
      </c>
      <c r="X49" s="107" t="s">
        <v>126</v>
      </c>
    </row>
    <row r="50">
      <c r="A50" s="109" t="s">
        <v>127</v>
      </c>
      <c r="B50" s="105">
        <v>0.03</v>
      </c>
      <c r="C50" s="84"/>
      <c r="D50" s="92"/>
      <c r="E50" s="92"/>
      <c r="F50" s="92"/>
      <c r="G50" s="92"/>
      <c r="H50" s="92"/>
      <c r="I50" s="92"/>
      <c r="J50" s="92"/>
      <c r="K50" s="92"/>
      <c r="L50" s="92"/>
      <c r="M50" s="92"/>
      <c r="N50" s="92"/>
      <c r="O50" s="92"/>
      <c r="P50" s="92"/>
      <c r="Q50" s="92"/>
      <c r="R50" s="92"/>
      <c r="S50" s="92"/>
      <c r="T50" s="92"/>
      <c r="U50" s="92"/>
      <c r="V50" s="84"/>
      <c r="W50" s="106" t="s">
        <v>120</v>
      </c>
      <c r="X50" s="107">
        <v>1.0</v>
      </c>
    </row>
    <row r="51">
      <c r="A51" s="109" t="s">
        <v>128</v>
      </c>
      <c r="B51" s="105">
        <v>0.05</v>
      </c>
      <c r="C51" s="84"/>
      <c r="D51" s="92"/>
      <c r="E51" s="92"/>
      <c r="F51" s="92"/>
      <c r="G51" s="92"/>
      <c r="H51" s="92"/>
      <c r="I51" s="92"/>
      <c r="J51" s="92"/>
      <c r="K51" s="92"/>
      <c r="L51" s="92"/>
      <c r="M51" s="92"/>
      <c r="N51" s="92"/>
      <c r="O51" s="92"/>
      <c r="P51" s="92"/>
      <c r="Q51" s="92"/>
      <c r="R51" s="92"/>
      <c r="S51" s="92"/>
      <c r="T51" s="92"/>
      <c r="U51" s="92"/>
      <c r="V51" s="84"/>
      <c r="W51" s="106" t="s">
        <v>120</v>
      </c>
      <c r="X51" s="107" t="s">
        <v>129</v>
      </c>
    </row>
    <row r="52">
      <c r="A52" s="109" t="s">
        <v>130</v>
      </c>
      <c r="B52" s="105">
        <v>0.06</v>
      </c>
      <c r="C52" s="84"/>
      <c r="D52" s="92"/>
      <c r="E52" s="92"/>
      <c r="F52" s="92"/>
      <c r="G52" s="92"/>
      <c r="H52" s="92"/>
      <c r="I52" s="92"/>
      <c r="J52" s="92"/>
      <c r="K52" s="92"/>
      <c r="L52" s="92"/>
      <c r="M52" s="92"/>
      <c r="N52" s="92"/>
      <c r="O52" s="92"/>
      <c r="P52" s="92"/>
      <c r="Q52" s="92"/>
      <c r="R52" s="92"/>
      <c r="S52" s="92"/>
      <c r="T52" s="92"/>
      <c r="U52" s="92"/>
      <c r="V52" s="84"/>
      <c r="W52" s="106" t="s">
        <v>120</v>
      </c>
      <c r="X52" s="107">
        <v>2.0</v>
      </c>
    </row>
    <row r="53">
      <c r="A53" s="91"/>
      <c r="B53" s="84"/>
      <c r="C53" s="84"/>
      <c r="D53" s="92"/>
      <c r="E53" s="92"/>
      <c r="F53" s="92"/>
      <c r="G53" s="92"/>
      <c r="H53" s="92"/>
      <c r="I53" s="92"/>
      <c r="J53" s="92"/>
      <c r="K53" s="92"/>
      <c r="L53" s="92"/>
      <c r="M53" s="92"/>
      <c r="N53" s="92"/>
      <c r="O53" s="92"/>
      <c r="P53" s="92"/>
      <c r="Q53" s="92"/>
      <c r="R53" s="92"/>
      <c r="S53" s="92"/>
      <c r="T53" s="92"/>
      <c r="U53" s="92"/>
      <c r="V53" s="84"/>
      <c r="W53" s="106" t="s">
        <v>120</v>
      </c>
      <c r="X53" s="107">
        <v>3.0</v>
      </c>
    </row>
    <row r="54">
      <c r="A54" s="101" t="s">
        <v>131</v>
      </c>
      <c r="C54" s="84"/>
      <c r="D54" s="92"/>
      <c r="E54" s="92"/>
      <c r="F54" s="92"/>
      <c r="G54" s="92"/>
      <c r="H54" s="92"/>
      <c r="I54" s="92"/>
      <c r="J54" s="92"/>
      <c r="K54" s="92"/>
      <c r="L54" s="92"/>
      <c r="M54" s="92"/>
      <c r="N54" s="92"/>
      <c r="O54" s="92"/>
      <c r="P54" s="92"/>
      <c r="Q54" s="92"/>
      <c r="R54" s="92"/>
      <c r="S54" s="92"/>
      <c r="T54" s="92"/>
      <c r="U54" s="92"/>
      <c r="V54" s="84"/>
      <c r="W54" s="106" t="s">
        <v>120</v>
      </c>
      <c r="X54" s="107">
        <v>4.0</v>
      </c>
    </row>
    <row r="55">
      <c r="A55" s="109" t="s">
        <v>132</v>
      </c>
      <c r="B55" s="105">
        <v>0.155</v>
      </c>
      <c r="C55" s="110" t="s">
        <v>133</v>
      </c>
      <c r="G55" s="92"/>
      <c r="H55" s="92"/>
      <c r="I55" s="92"/>
      <c r="J55" s="92"/>
      <c r="K55" s="92"/>
      <c r="L55" s="92"/>
      <c r="M55" s="92"/>
      <c r="N55" s="92"/>
      <c r="O55" s="92"/>
      <c r="P55" s="92"/>
      <c r="Q55" s="92"/>
      <c r="R55" s="92"/>
      <c r="S55" s="92"/>
      <c r="T55" s="92"/>
      <c r="U55" s="92"/>
      <c r="V55" s="84"/>
      <c r="W55" s="106" t="s">
        <v>120</v>
      </c>
      <c r="X55" s="107">
        <v>5.0</v>
      </c>
    </row>
    <row r="56">
      <c r="A56" s="109" t="s">
        <v>134</v>
      </c>
      <c r="B56" s="105">
        <v>0.069</v>
      </c>
      <c r="C56" s="110" t="s">
        <v>135</v>
      </c>
      <c r="F56" s="92"/>
      <c r="G56" s="92"/>
      <c r="H56" s="92"/>
      <c r="I56" s="92"/>
      <c r="J56" s="92"/>
      <c r="K56" s="92"/>
      <c r="L56" s="92"/>
      <c r="M56" s="92"/>
      <c r="N56" s="92"/>
      <c r="O56" s="92"/>
      <c r="P56" s="92"/>
      <c r="Q56" s="92"/>
      <c r="R56" s="92"/>
      <c r="S56" s="92"/>
      <c r="T56" s="92"/>
      <c r="U56" s="92"/>
      <c r="V56" s="84"/>
      <c r="W56" s="106" t="s">
        <v>136</v>
      </c>
      <c r="X56" s="107">
        <v>0.0</v>
      </c>
    </row>
    <row r="57">
      <c r="A57" s="109" t="s">
        <v>137</v>
      </c>
      <c r="B57" s="105">
        <v>0.004</v>
      </c>
      <c r="C57" s="110" t="s">
        <v>138</v>
      </c>
      <c r="F57" s="92"/>
      <c r="G57" s="92"/>
      <c r="H57" s="92"/>
      <c r="I57" s="92"/>
      <c r="J57" s="92"/>
      <c r="K57" s="92"/>
      <c r="L57" s="92"/>
      <c r="M57" s="92"/>
      <c r="N57" s="92"/>
      <c r="O57" s="92"/>
      <c r="P57" s="92"/>
      <c r="Q57" s="92"/>
      <c r="R57" s="92"/>
      <c r="S57" s="92"/>
      <c r="T57" s="92"/>
      <c r="U57" s="92"/>
      <c r="V57" s="84"/>
      <c r="W57" s="106" t="s">
        <v>136</v>
      </c>
      <c r="X57" s="107" t="s">
        <v>122</v>
      </c>
    </row>
    <row r="58">
      <c r="A58" s="109" t="s">
        <v>139</v>
      </c>
      <c r="B58" s="105">
        <v>0.014</v>
      </c>
      <c r="C58" s="110" t="s">
        <v>140</v>
      </c>
      <c r="F58" s="92"/>
      <c r="G58" s="92"/>
      <c r="H58" s="92"/>
      <c r="I58" s="92"/>
      <c r="J58" s="92"/>
      <c r="K58" s="92"/>
      <c r="L58" s="92"/>
      <c r="M58" s="92"/>
      <c r="N58" s="92"/>
      <c r="O58" s="92"/>
      <c r="P58" s="92"/>
      <c r="Q58" s="92"/>
      <c r="R58" s="92"/>
      <c r="S58" s="92"/>
      <c r="T58" s="92"/>
      <c r="U58" s="92"/>
      <c r="V58" s="84"/>
      <c r="W58" s="106" t="s">
        <v>136</v>
      </c>
      <c r="X58" s="107">
        <v>0.0</v>
      </c>
    </row>
    <row r="59">
      <c r="A59" s="109" t="s">
        <v>141</v>
      </c>
      <c r="B59" s="105">
        <v>0.083</v>
      </c>
      <c r="C59" s="110" t="s">
        <v>142</v>
      </c>
      <c r="G59" s="92"/>
      <c r="H59" s="92"/>
      <c r="I59" s="92"/>
      <c r="J59" s="92"/>
      <c r="K59" s="92"/>
      <c r="L59" s="92"/>
      <c r="M59" s="92"/>
      <c r="N59" s="92"/>
      <c r="O59" s="92"/>
      <c r="P59" s="92"/>
      <c r="Q59" s="92"/>
      <c r="R59" s="92"/>
      <c r="S59" s="92"/>
      <c r="T59" s="92"/>
      <c r="U59" s="92"/>
      <c r="V59" s="84"/>
      <c r="W59" s="106" t="s">
        <v>136</v>
      </c>
      <c r="X59" s="107" t="s">
        <v>117</v>
      </c>
    </row>
    <row r="60">
      <c r="A60" s="109" t="s">
        <v>143</v>
      </c>
      <c r="B60" s="105">
        <v>0.165</v>
      </c>
      <c r="C60" s="110" t="s">
        <v>144</v>
      </c>
      <c r="G60" s="92"/>
      <c r="H60" s="92"/>
      <c r="I60" s="92"/>
      <c r="J60" s="92"/>
      <c r="K60" s="92"/>
      <c r="L60" s="92"/>
      <c r="M60" s="92"/>
      <c r="N60" s="92"/>
      <c r="O60" s="92"/>
      <c r="P60" s="92"/>
      <c r="Q60" s="92"/>
      <c r="R60" s="92"/>
      <c r="S60" s="92"/>
      <c r="T60" s="92"/>
      <c r="U60" s="92"/>
      <c r="V60" s="84"/>
      <c r="W60" s="106" t="s">
        <v>136</v>
      </c>
      <c r="X60" s="107">
        <v>0.0</v>
      </c>
    </row>
    <row r="61">
      <c r="A61" s="109" t="s">
        <v>145</v>
      </c>
      <c r="B61" s="105">
        <v>0.017</v>
      </c>
      <c r="C61" s="110" t="s">
        <v>146</v>
      </c>
      <c r="F61" s="92"/>
      <c r="G61" s="92"/>
      <c r="H61" s="92"/>
      <c r="I61" s="92"/>
      <c r="J61" s="92"/>
      <c r="K61" s="92"/>
      <c r="L61" s="92"/>
      <c r="M61" s="92"/>
      <c r="N61" s="92"/>
      <c r="O61" s="92"/>
      <c r="P61" s="92"/>
      <c r="Q61" s="92"/>
      <c r="R61" s="92"/>
      <c r="S61" s="92"/>
      <c r="T61" s="92"/>
      <c r="U61" s="92"/>
      <c r="V61" s="84"/>
      <c r="W61" s="106" t="s">
        <v>136</v>
      </c>
      <c r="X61" s="107">
        <v>1.0</v>
      </c>
    </row>
    <row r="62">
      <c r="A62" s="109" t="s">
        <v>147</v>
      </c>
      <c r="B62" s="105">
        <v>0.025</v>
      </c>
      <c r="C62" s="110" t="s">
        <v>148</v>
      </c>
      <c r="F62" s="92"/>
      <c r="G62" s="92"/>
      <c r="H62" s="92"/>
      <c r="I62" s="92"/>
      <c r="J62" s="92"/>
      <c r="K62" s="92"/>
      <c r="L62" s="92"/>
      <c r="M62" s="92"/>
      <c r="N62" s="92"/>
      <c r="O62" s="92"/>
      <c r="P62" s="92"/>
      <c r="Q62" s="92"/>
      <c r="R62" s="92"/>
      <c r="S62" s="92"/>
      <c r="T62" s="92"/>
      <c r="U62" s="92"/>
      <c r="V62" s="84"/>
      <c r="W62" s="106" t="s">
        <v>136</v>
      </c>
      <c r="X62" s="107">
        <v>2.0</v>
      </c>
    </row>
    <row r="63">
      <c r="A63" s="109" t="s">
        <v>149</v>
      </c>
      <c r="B63" s="105">
        <v>0.042</v>
      </c>
      <c r="C63" s="110" t="s">
        <v>150</v>
      </c>
      <c r="F63" s="92"/>
      <c r="G63" s="92"/>
      <c r="H63" s="92"/>
      <c r="I63" s="92"/>
      <c r="J63" s="92"/>
      <c r="K63" s="92"/>
      <c r="L63" s="92"/>
      <c r="M63" s="92"/>
      <c r="N63" s="92"/>
      <c r="O63" s="92"/>
      <c r="P63" s="92"/>
      <c r="Q63" s="92"/>
      <c r="R63" s="92"/>
      <c r="S63" s="92"/>
      <c r="T63" s="92"/>
      <c r="U63" s="92"/>
      <c r="V63" s="84"/>
      <c r="W63" s="106" t="s">
        <v>136</v>
      </c>
      <c r="X63" s="107">
        <v>3.0</v>
      </c>
    </row>
    <row r="64">
      <c r="A64" s="109" t="s">
        <v>151</v>
      </c>
      <c r="B64" s="105">
        <v>0.008</v>
      </c>
      <c r="C64" s="110" t="s">
        <v>152</v>
      </c>
      <c r="G64" s="92"/>
      <c r="H64" s="92"/>
      <c r="I64" s="92"/>
      <c r="J64" s="92"/>
      <c r="K64" s="92"/>
      <c r="L64" s="92"/>
      <c r="M64" s="92"/>
      <c r="N64" s="92"/>
      <c r="O64" s="92"/>
      <c r="P64" s="92"/>
      <c r="Q64" s="92"/>
      <c r="R64" s="92"/>
      <c r="S64" s="92"/>
      <c r="T64" s="92"/>
      <c r="U64" s="92"/>
      <c r="V64" s="84"/>
      <c r="W64" s="106" t="s">
        <v>136</v>
      </c>
      <c r="X64" s="107">
        <v>4.0</v>
      </c>
    </row>
    <row r="65">
      <c r="A65" s="109" t="s">
        <v>153</v>
      </c>
      <c r="B65" s="105">
        <v>0.028</v>
      </c>
      <c r="C65" s="110" t="s">
        <v>154</v>
      </c>
      <c r="F65" s="92"/>
      <c r="G65" s="92"/>
      <c r="H65" s="92"/>
      <c r="I65" s="92"/>
      <c r="J65" s="92"/>
      <c r="K65" s="92"/>
      <c r="L65" s="92"/>
      <c r="M65" s="92"/>
      <c r="N65" s="92"/>
      <c r="O65" s="92"/>
      <c r="P65" s="92"/>
      <c r="Q65" s="92"/>
      <c r="R65" s="92"/>
      <c r="S65" s="92"/>
      <c r="T65" s="92"/>
      <c r="U65" s="92"/>
      <c r="V65" s="84"/>
      <c r="W65" s="106" t="s">
        <v>155</v>
      </c>
      <c r="X65" s="107">
        <v>0.0</v>
      </c>
    </row>
    <row r="66">
      <c r="A66" s="91"/>
      <c r="B66" s="84"/>
      <c r="C66" s="84"/>
      <c r="D66" s="92"/>
      <c r="E66" s="92"/>
      <c r="F66" s="92"/>
      <c r="G66" s="92"/>
      <c r="H66" s="92"/>
      <c r="I66" s="92"/>
      <c r="J66" s="92"/>
      <c r="K66" s="92"/>
      <c r="L66" s="92"/>
      <c r="M66" s="92"/>
      <c r="N66" s="92"/>
      <c r="O66" s="92"/>
      <c r="P66" s="92"/>
      <c r="Q66" s="92"/>
      <c r="R66" s="92"/>
      <c r="S66" s="92"/>
      <c r="T66" s="92"/>
      <c r="U66" s="92"/>
      <c r="V66" s="84"/>
      <c r="W66" s="106" t="s">
        <v>155</v>
      </c>
      <c r="X66" s="107" t="s">
        <v>121</v>
      </c>
    </row>
    <row r="67">
      <c r="A67" s="101" t="s">
        <v>156</v>
      </c>
      <c r="C67" s="84"/>
      <c r="D67" s="92"/>
      <c r="E67" s="92"/>
      <c r="F67" s="92"/>
      <c r="G67" s="92"/>
      <c r="H67" s="92"/>
      <c r="I67" s="92"/>
      <c r="J67" s="92"/>
      <c r="K67" s="92"/>
      <c r="L67" s="92"/>
      <c r="M67" s="92"/>
      <c r="N67" s="92"/>
      <c r="O67" s="92"/>
      <c r="P67" s="92"/>
      <c r="Q67" s="92"/>
      <c r="R67" s="92"/>
      <c r="S67" s="92"/>
      <c r="T67" s="92"/>
      <c r="U67" s="92"/>
      <c r="V67" s="84"/>
      <c r="W67" s="106" t="s">
        <v>155</v>
      </c>
      <c r="X67" s="107" t="s">
        <v>122</v>
      </c>
    </row>
    <row r="68">
      <c r="A68" s="109" t="s">
        <v>157</v>
      </c>
      <c r="B68" s="105">
        <v>0.03</v>
      </c>
      <c r="C68" s="110" t="s">
        <v>158</v>
      </c>
      <c r="F68" s="92"/>
      <c r="G68" s="92"/>
      <c r="H68" s="92"/>
      <c r="I68" s="92"/>
      <c r="J68" s="92"/>
      <c r="K68" s="92"/>
      <c r="L68" s="92"/>
      <c r="M68" s="92"/>
      <c r="N68" s="92"/>
      <c r="O68" s="92"/>
      <c r="P68" s="92"/>
      <c r="Q68" s="92"/>
      <c r="R68" s="92"/>
      <c r="S68" s="92"/>
      <c r="T68" s="92"/>
      <c r="U68" s="92"/>
      <c r="V68" s="84"/>
      <c r="W68" s="106" t="s">
        <v>155</v>
      </c>
      <c r="X68" s="107">
        <v>0.0</v>
      </c>
    </row>
    <row r="69">
      <c r="A69" s="109" t="s">
        <v>159</v>
      </c>
      <c r="B69" s="105">
        <v>0.01</v>
      </c>
      <c r="C69" s="110" t="s">
        <v>160</v>
      </c>
      <c r="E69" s="92"/>
      <c r="F69" s="92"/>
      <c r="G69" s="92"/>
      <c r="H69" s="92"/>
      <c r="I69" s="92"/>
      <c r="J69" s="92"/>
      <c r="K69" s="92"/>
      <c r="L69" s="92"/>
      <c r="M69" s="92"/>
      <c r="N69" s="92"/>
      <c r="O69" s="92"/>
      <c r="P69" s="92"/>
      <c r="Q69" s="92"/>
      <c r="R69" s="92"/>
      <c r="S69" s="92"/>
      <c r="T69" s="92"/>
      <c r="U69" s="92"/>
      <c r="V69" s="84"/>
      <c r="W69" s="106" t="s">
        <v>155</v>
      </c>
      <c r="X69" s="107" t="s">
        <v>123</v>
      </c>
    </row>
    <row r="70">
      <c r="A70" s="109" t="s">
        <v>161</v>
      </c>
      <c r="B70" s="105">
        <v>0.04</v>
      </c>
      <c r="C70" s="110" t="s">
        <v>162</v>
      </c>
      <c r="F70" s="92"/>
      <c r="G70" s="92"/>
      <c r="H70" s="92"/>
      <c r="I70" s="92"/>
      <c r="J70" s="92"/>
      <c r="K70" s="92"/>
      <c r="L70" s="92"/>
      <c r="M70" s="92"/>
      <c r="N70" s="92"/>
      <c r="O70" s="92"/>
      <c r="P70" s="92"/>
      <c r="Q70" s="92"/>
      <c r="R70" s="92"/>
      <c r="S70" s="92"/>
      <c r="T70" s="92"/>
      <c r="U70" s="92"/>
      <c r="V70" s="84"/>
      <c r="W70" s="106" t="s">
        <v>155</v>
      </c>
      <c r="X70" s="107" t="s">
        <v>124</v>
      </c>
    </row>
    <row r="71">
      <c r="A71" s="91"/>
      <c r="B71" s="84"/>
      <c r="C71" s="84"/>
      <c r="D71" s="92"/>
      <c r="E71" s="92"/>
      <c r="F71" s="92"/>
      <c r="G71" s="92"/>
      <c r="H71" s="92"/>
      <c r="I71" s="92"/>
      <c r="J71" s="92"/>
      <c r="K71" s="92"/>
      <c r="L71" s="92"/>
      <c r="M71" s="92"/>
      <c r="N71" s="92"/>
      <c r="O71" s="92"/>
      <c r="P71" s="92"/>
      <c r="Q71" s="92"/>
      <c r="R71" s="92"/>
      <c r="S71" s="92"/>
      <c r="T71" s="92"/>
      <c r="U71" s="92"/>
      <c r="V71" s="84"/>
      <c r="W71" s="106" t="s">
        <v>155</v>
      </c>
      <c r="X71" s="107">
        <v>0.0</v>
      </c>
    </row>
    <row r="72">
      <c r="A72" s="91"/>
      <c r="B72" s="84"/>
      <c r="C72" s="84"/>
      <c r="D72" s="92"/>
      <c r="E72" s="92"/>
      <c r="F72" s="92"/>
      <c r="G72" s="92"/>
      <c r="H72" s="92"/>
      <c r="I72" s="92"/>
      <c r="J72" s="92"/>
      <c r="K72" s="92"/>
      <c r="L72" s="92"/>
      <c r="M72" s="92"/>
      <c r="N72" s="92"/>
      <c r="O72" s="92"/>
      <c r="P72" s="92"/>
      <c r="Q72" s="92"/>
      <c r="R72" s="92"/>
      <c r="S72" s="92"/>
      <c r="T72" s="92"/>
      <c r="U72" s="92"/>
      <c r="V72" s="84"/>
      <c r="W72" s="106" t="s">
        <v>155</v>
      </c>
      <c r="X72" s="107" t="s">
        <v>126</v>
      </c>
    </row>
    <row r="73">
      <c r="A73" s="91"/>
      <c r="B73" s="84"/>
      <c r="C73" s="84"/>
      <c r="D73" s="92"/>
      <c r="E73" s="92"/>
      <c r="F73" s="92"/>
      <c r="G73" s="92"/>
      <c r="H73" s="92"/>
      <c r="I73" s="92"/>
      <c r="J73" s="92"/>
      <c r="K73" s="92"/>
      <c r="L73" s="92"/>
      <c r="M73" s="92"/>
      <c r="N73" s="92"/>
      <c r="O73" s="92"/>
      <c r="P73" s="92"/>
      <c r="Q73" s="92"/>
      <c r="R73" s="92"/>
      <c r="S73" s="92"/>
      <c r="T73" s="92"/>
      <c r="U73" s="92"/>
      <c r="V73" s="84"/>
      <c r="W73" s="106" t="s">
        <v>155</v>
      </c>
      <c r="X73" s="107">
        <v>1.0</v>
      </c>
    </row>
    <row r="74">
      <c r="A74" s="91"/>
      <c r="B74" s="84"/>
      <c r="C74" s="84"/>
      <c r="D74" s="92"/>
      <c r="E74" s="92"/>
      <c r="F74" s="92"/>
      <c r="G74" s="92"/>
      <c r="H74" s="92"/>
      <c r="I74" s="92"/>
      <c r="J74" s="92"/>
      <c r="K74" s="92"/>
      <c r="L74" s="92"/>
      <c r="M74" s="92"/>
      <c r="N74" s="92"/>
      <c r="O74" s="92"/>
      <c r="P74" s="92"/>
      <c r="Q74" s="92"/>
      <c r="R74" s="92"/>
      <c r="S74" s="92"/>
      <c r="T74" s="92"/>
      <c r="U74" s="92"/>
      <c r="V74" s="84"/>
      <c r="W74" s="106" t="s">
        <v>155</v>
      </c>
      <c r="X74" s="107" t="s">
        <v>129</v>
      </c>
    </row>
    <row r="75">
      <c r="A75" s="91"/>
      <c r="B75" s="84"/>
      <c r="C75" s="84"/>
      <c r="D75" s="92"/>
      <c r="E75" s="92"/>
      <c r="F75" s="92"/>
      <c r="G75" s="92"/>
      <c r="H75" s="92"/>
      <c r="I75" s="92"/>
      <c r="J75" s="92"/>
      <c r="K75" s="92"/>
      <c r="L75" s="92"/>
      <c r="M75" s="92"/>
      <c r="N75" s="92"/>
      <c r="O75" s="92"/>
      <c r="P75" s="92"/>
      <c r="Q75" s="92"/>
      <c r="R75" s="92"/>
      <c r="S75" s="92"/>
      <c r="T75" s="92"/>
      <c r="U75" s="92"/>
      <c r="V75" s="84"/>
      <c r="W75" s="106" t="s">
        <v>155</v>
      </c>
      <c r="X75" s="107">
        <v>2.0</v>
      </c>
    </row>
    <row r="76">
      <c r="A76" s="91"/>
      <c r="B76" s="84"/>
      <c r="C76" s="84"/>
      <c r="D76" s="92"/>
      <c r="E76" s="92"/>
      <c r="F76" s="92"/>
      <c r="G76" s="92"/>
      <c r="H76" s="92"/>
      <c r="I76" s="92"/>
      <c r="J76" s="92"/>
      <c r="K76" s="92"/>
      <c r="L76" s="92"/>
      <c r="M76" s="92"/>
      <c r="N76" s="92"/>
      <c r="O76" s="92"/>
      <c r="P76" s="92"/>
      <c r="Q76" s="92"/>
      <c r="R76" s="92"/>
      <c r="S76" s="92"/>
      <c r="T76" s="92"/>
      <c r="U76" s="92"/>
      <c r="V76" s="84"/>
      <c r="W76" s="106" t="s">
        <v>155</v>
      </c>
      <c r="X76" s="107">
        <v>3.0</v>
      </c>
    </row>
    <row r="77">
      <c r="A77" s="91"/>
      <c r="B77" s="84"/>
      <c r="C77" s="84"/>
      <c r="D77" s="92"/>
      <c r="E77" s="92"/>
      <c r="F77" s="92"/>
      <c r="G77" s="92"/>
      <c r="H77" s="92"/>
      <c r="I77" s="92"/>
      <c r="J77" s="92"/>
      <c r="K77" s="92"/>
      <c r="L77" s="92"/>
      <c r="M77" s="92"/>
      <c r="N77" s="92"/>
      <c r="O77" s="92"/>
      <c r="P77" s="92"/>
      <c r="Q77" s="92"/>
      <c r="R77" s="92"/>
      <c r="S77" s="92"/>
      <c r="T77" s="92"/>
      <c r="U77" s="92"/>
      <c r="V77" s="84"/>
      <c r="W77" s="106" t="s">
        <v>155</v>
      </c>
      <c r="X77" s="107">
        <v>4.0</v>
      </c>
    </row>
    <row r="78">
      <c r="A78" s="91"/>
      <c r="B78" s="84"/>
      <c r="C78" s="84"/>
      <c r="D78" s="92"/>
      <c r="E78" s="92"/>
      <c r="F78" s="92"/>
      <c r="G78" s="92"/>
      <c r="H78" s="92"/>
      <c r="I78" s="92"/>
      <c r="J78" s="92"/>
      <c r="K78" s="92"/>
      <c r="L78" s="92"/>
      <c r="M78" s="92"/>
      <c r="N78" s="92"/>
      <c r="O78" s="92"/>
      <c r="P78" s="92"/>
      <c r="Q78" s="92"/>
      <c r="R78" s="92"/>
      <c r="S78" s="92"/>
      <c r="T78" s="92"/>
      <c r="U78" s="92"/>
      <c r="V78" s="84"/>
      <c r="W78" s="106" t="s">
        <v>155</v>
      </c>
      <c r="X78" s="107">
        <v>5.0</v>
      </c>
    </row>
    <row r="79">
      <c r="A79" s="91"/>
      <c r="B79" s="84"/>
      <c r="C79" s="84"/>
      <c r="D79" s="92"/>
      <c r="E79" s="92"/>
      <c r="F79" s="92"/>
      <c r="G79" s="92"/>
      <c r="H79" s="92"/>
      <c r="I79" s="92"/>
      <c r="J79" s="92"/>
      <c r="K79" s="92"/>
      <c r="L79" s="92"/>
      <c r="M79" s="92"/>
      <c r="N79" s="92"/>
      <c r="O79" s="92"/>
      <c r="P79" s="92"/>
      <c r="Q79" s="92"/>
      <c r="R79" s="92"/>
      <c r="S79" s="92"/>
      <c r="T79" s="92"/>
      <c r="U79" s="92"/>
      <c r="V79" s="84"/>
      <c r="W79" s="84"/>
      <c r="X79" s="84"/>
    </row>
    <row r="80">
      <c r="A80" s="93" t="s">
        <v>163</v>
      </c>
      <c r="I80" s="84"/>
      <c r="J80" s="84"/>
      <c r="K80" s="84"/>
      <c r="L80" s="84"/>
      <c r="M80" s="84"/>
      <c r="N80" s="84"/>
      <c r="O80" s="84"/>
      <c r="P80" s="84"/>
      <c r="Q80" s="84"/>
      <c r="R80" s="84"/>
      <c r="S80" s="84"/>
      <c r="T80" s="92"/>
      <c r="U80" s="92"/>
      <c r="V80" s="84"/>
      <c r="W80" s="84"/>
      <c r="X80" s="84"/>
    </row>
    <row r="81">
      <c r="A81" s="108" t="s">
        <v>164</v>
      </c>
      <c r="G81" s="84"/>
      <c r="H81" s="84"/>
      <c r="I81" s="84"/>
      <c r="J81" s="84"/>
      <c r="K81" s="84"/>
      <c r="L81" s="84"/>
      <c r="M81" s="84"/>
      <c r="N81" s="84"/>
      <c r="O81" s="84"/>
      <c r="P81" s="84"/>
      <c r="Q81" s="84"/>
      <c r="R81" s="84"/>
      <c r="S81" s="84"/>
      <c r="T81" s="92"/>
      <c r="U81" s="92"/>
      <c r="V81" s="84"/>
      <c r="W81" s="84"/>
      <c r="X81" s="84"/>
    </row>
    <row r="82">
      <c r="A82" s="94" t="s">
        <v>165</v>
      </c>
      <c r="B82" s="102">
        <v>1000.0</v>
      </c>
      <c r="C82" s="98"/>
      <c r="D82" s="102">
        <v>2000.0</v>
      </c>
      <c r="E82" s="102">
        <v>3000.0</v>
      </c>
      <c r="F82" s="102">
        <v>4000.0</v>
      </c>
      <c r="G82" s="102">
        <v>5000.0</v>
      </c>
      <c r="H82" s="102">
        <v>10000.0</v>
      </c>
      <c r="I82" s="102">
        <v>15000.0</v>
      </c>
      <c r="J82" s="102">
        <v>20000.0</v>
      </c>
      <c r="K82" s="102">
        <v>25000.0</v>
      </c>
      <c r="L82" s="102">
        <v>30000.0</v>
      </c>
      <c r="M82" s="102">
        <v>40000.0</v>
      </c>
      <c r="N82" s="102">
        <v>50000.0</v>
      </c>
      <c r="O82" s="102">
        <v>60000.0</v>
      </c>
      <c r="P82" s="102">
        <v>70000.0</v>
      </c>
      <c r="Q82" s="102">
        <v>80000.0</v>
      </c>
      <c r="R82" s="102">
        <v>90000.0</v>
      </c>
      <c r="S82" s="102">
        <v>100000.0</v>
      </c>
      <c r="T82" s="92"/>
      <c r="U82" s="92"/>
      <c r="V82" s="84"/>
      <c r="W82" s="84"/>
      <c r="X82" s="84"/>
    </row>
    <row r="83">
      <c r="A83" s="110" t="s">
        <v>166</v>
      </c>
      <c r="B83" s="105">
        <v>3.6</v>
      </c>
      <c r="C83" s="84"/>
      <c r="D83" s="105">
        <v>2.73</v>
      </c>
      <c r="E83" s="105">
        <v>2.3</v>
      </c>
      <c r="F83" s="105">
        <v>2.04</v>
      </c>
      <c r="G83" s="105">
        <v>1.88</v>
      </c>
      <c r="H83" s="105">
        <v>1.3</v>
      </c>
      <c r="I83" s="105">
        <v>1.09</v>
      </c>
      <c r="J83" s="105">
        <v>0.97</v>
      </c>
      <c r="K83" s="105">
        <v>0.9</v>
      </c>
      <c r="L83" s="105">
        <v>0.85</v>
      </c>
      <c r="M83" s="105">
        <v>0.79</v>
      </c>
      <c r="N83" s="105">
        <v>0.74</v>
      </c>
      <c r="O83" s="105">
        <v>0.71</v>
      </c>
      <c r="P83" s="105">
        <v>0.69</v>
      </c>
      <c r="Q83" s="105">
        <v>0.67</v>
      </c>
      <c r="R83" s="105">
        <v>0.66</v>
      </c>
      <c r="S83" s="105">
        <v>0.49</v>
      </c>
      <c r="T83" s="92"/>
      <c r="U83" s="92"/>
      <c r="V83" s="84"/>
      <c r="W83" s="84"/>
      <c r="X83" s="84"/>
    </row>
    <row r="84">
      <c r="A84" s="110" t="s">
        <v>167</v>
      </c>
      <c r="B84" s="105">
        <v>4.8</v>
      </c>
      <c r="C84" s="84"/>
      <c r="D84" s="105">
        <v>3.62</v>
      </c>
      <c r="E84" s="105">
        <v>3.03</v>
      </c>
      <c r="F84" s="105">
        <v>2.68</v>
      </c>
      <c r="G84" s="105">
        <v>2.46</v>
      </c>
      <c r="H84" s="105">
        <v>1.6</v>
      </c>
      <c r="I84" s="105">
        <v>1.34</v>
      </c>
      <c r="J84" s="105">
        <v>1.19</v>
      </c>
      <c r="K84" s="105">
        <v>1.1</v>
      </c>
      <c r="L84" s="105">
        <v>1.04</v>
      </c>
      <c r="M84" s="105">
        <v>0.97</v>
      </c>
      <c r="N84" s="105">
        <v>0.92</v>
      </c>
      <c r="O84" s="105">
        <v>0.88</v>
      </c>
      <c r="P84" s="105">
        <v>0.85</v>
      </c>
      <c r="Q84" s="105">
        <v>0.83</v>
      </c>
      <c r="R84" s="105">
        <v>0.81</v>
      </c>
      <c r="S84" s="105">
        <v>0.73</v>
      </c>
      <c r="T84" s="92"/>
      <c r="U84" s="92"/>
      <c r="V84" s="84"/>
      <c r="W84" s="84"/>
      <c r="X84" s="84"/>
    </row>
    <row r="85">
      <c r="A85" s="110" t="s">
        <v>168</v>
      </c>
      <c r="B85" s="105">
        <v>5.77</v>
      </c>
      <c r="C85" s="84"/>
      <c r="D85" s="105">
        <v>4.36</v>
      </c>
      <c r="E85" s="105">
        <v>3.61</v>
      </c>
      <c r="F85" s="105">
        <v>3.18</v>
      </c>
      <c r="G85" s="105">
        <v>2.9</v>
      </c>
      <c r="H85" s="105">
        <v>2.14</v>
      </c>
      <c r="I85" s="105">
        <v>1.8</v>
      </c>
      <c r="J85" s="105">
        <v>1.6</v>
      </c>
      <c r="K85" s="105">
        <v>1.47</v>
      </c>
      <c r="L85" s="105">
        <v>1.38</v>
      </c>
      <c r="M85" s="105">
        <v>1.27</v>
      </c>
      <c r="N85" s="105">
        <v>1.2</v>
      </c>
      <c r="O85" s="105">
        <v>1.15</v>
      </c>
      <c r="P85" s="105">
        <v>1.11</v>
      </c>
      <c r="Q85" s="105">
        <v>1.08</v>
      </c>
      <c r="R85" s="105">
        <v>1.06</v>
      </c>
      <c r="S85" s="105">
        <v>1.16</v>
      </c>
      <c r="T85" s="92"/>
      <c r="U85" s="92"/>
      <c r="V85" s="84"/>
      <c r="W85" s="84"/>
      <c r="X85" s="84"/>
    </row>
    <row r="86">
      <c r="A86" s="110" t="s">
        <v>169</v>
      </c>
      <c r="B86" s="105">
        <v>7.54</v>
      </c>
      <c r="C86" s="84"/>
      <c r="D86" s="105">
        <v>5.73</v>
      </c>
      <c r="E86" s="105">
        <v>4.74</v>
      </c>
      <c r="F86" s="105">
        <v>4.17</v>
      </c>
      <c r="G86" s="105">
        <v>3.83</v>
      </c>
      <c r="H86" s="105">
        <v>3.27</v>
      </c>
      <c r="I86" s="105">
        <v>2.94</v>
      </c>
      <c r="J86" s="105">
        <v>2.73</v>
      </c>
      <c r="K86" s="105">
        <v>2.58</v>
      </c>
      <c r="L86" s="105">
        <v>2.47</v>
      </c>
      <c r="M86" s="105">
        <v>2.33</v>
      </c>
      <c r="N86" s="105">
        <v>2.23</v>
      </c>
      <c r="O86" s="105">
        <v>2.16</v>
      </c>
      <c r="P86" s="105">
        <v>2.1</v>
      </c>
      <c r="Q86" s="105">
        <v>2.06</v>
      </c>
      <c r="R86" s="105">
        <v>2.03</v>
      </c>
      <c r="S86" s="105">
        <v>2.07</v>
      </c>
      <c r="T86" s="92"/>
      <c r="U86" s="92"/>
      <c r="V86" s="84"/>
      <c r="W86" s="84"/>
      <c r="X86" s="84"/>
    </row>
    <row r="87">
      <c r="A87" s="91"/>
      <c r="B87" s="84"/>
      <c r="C87" s="84"/>
      <c r="D87" s="92"/>
      <c r="E87" s="92"/>
      <c r="F87" s="92"/>
      <c r="G87" s="92"/>
      <c r="H87" s="92"/>
      <c r="I87" s="92"/>
      <c r="J87" s="92"/>
      <c r="K87" s="92"/>
      <c r="L87" s="92"/>
      <c r="M87" s="92"/>
      <c r="N87" s="92"/>
      <c r="O87" s="92"/>
      <c r="P87" s="92"/>
      <c r="Q87" s="92"/>
      <c r="R87" s="92"/>
      <c r="S87" s="92"/>
      <c r="T87" s="92"/>
      <c r="U87" s="92"/>
      <c r="V87" s="84"/>
      <c r="W87" s="84"/>
      <c r="X87" s="84"/>
    </row>
    <row r="88">
      <c r="A88" s="93" t="s">
        <v>170</v>
      </c>
      <c r="I88" s="84"/>
      <c r="J88" s="84"/>
      <c r="K88" s="84"/>
      <c r="L88" s="84"/>
      <c r="M88" s="84"/>
      <c r="N88" s="84"/>
      <c r="O88" s="84"/>
      <c r="P88" s="84"/>
      <c r="Q88" s="92"/>
      <c r="R88" s="92"/>
      <c r="S88" s="92"/>
      <c r="T88" s="92"/>
      <c r="U88" s="92"/>
      <c r="V88" s="84"/>
      <c r="W88" s="84"/>
      <c r="X88" s="84"/>
    </row>
    <row r="89">
      <c r="A89" s="94" t="s">
        <v>171</v>
      </c>
      <c r="B89" s="102">
        <v>25000.0</v>
      </c>
      <c r="C89" s="98"/>
      <c r="D89" s="102">
        <v>50000.0</v>
      </c>
      <c r="E89" s="102">
        <v>75000.0</v>
      </c>
      <c r="F89" s="102">
        <v>100000.0</v>
      </c>
      <c r="G89" s="102">
        <v>150000.0</v>
      </c>
      <c r="H89" s="102">
        <v>200000.0</v>
      </c>
      <c r="I89" s="102">
        <v>300000.0</v>
      </c>
      <c r="J89" s="102">
        <v>400000.0</v>
      </c>
      <c r="K89" s="102">
        <v>500000.0</v>
      </c>
      <c r="L89" s="102">
        <v>600000.0</v>
      </c>
      <c r="M89" s="102">
        <v>700000.0</v>
      </c>
      <c r="N89" s="102">
        <v>800000.0</v>
      </c>
      <c r="O89" s="102">
        <v>900000.0</v>
      </c>
      <c r="P89" s="102">
        <v>1000000.0</v>
      </c>
      <c r="Q89" s="92"/>
      <c r="R89" s="92"/>
      <c r="S89" s="92"/>
      <c r="T89" s="92"/>
      <c r="U89" s="92"/>
      <c r="V89" s="84"/>
      <c r="W89" s="84"/>
      <c r="X89" s="84"/>
    </row>
    <row r="90">
      <c r="A90" s="94" t="s">
        <v>172</v>
      </c>
      <c r="B90" s="105">
        <v>0.35</v>
      </c>
      <c r="C90" s="84"/>
      <c r="D90" s="105">
        <v>0.33</v>
      </c>
      <c r="E90" s="105">
        <v>0.31</v>
      </c>
      <c r="F90" s="105">
        <v>0.29</v>
      </c>
      <c r="G90" s="105">
        <v>0.27</v>
      </c>
      <c r="H90" s="105">
        <v>0.25</v>
      </c>
      <c r="I90" s="105">
        <v>0.24</v>
      </c>
      <c r="J90" s="105">
        <v>0.22</v>
      </c>
      <c r="K90" s="105">
        <v>0.21</v>
      </c>
      <c r="L90" s="105">
        <v>0.2</v>
      </c>
      <c r="M90" s="105">
        <v>0.18</v>
      </c>
      <c r="N90" s="105">
        <v>0.17</v>
      </c>
      <c r="O90" s="105">
        <v>0.16</v>
      </c>
      <c r="P90" s="111">
        <v>0.15</v>
      </c>
      <c r="Q90" s="92"/>
      <c r="R90" s="92"/>
      <c r="S90" s="92"/>
      <c r="T90" s="92"/>
      <c r="U90" s="92"/>
      <c r="V90" s="84"/>
      <c r="W90" s="84"/>
      <c r="X90" s="84"/>
    </row>
    <row r="91">
      <c r="A91" s="94" t="s">
        <v>173</v>
      </c>
      <c r="B91" s="105">
        <v>0.42</v>
      </c>
      <c r="C91" s="84"/>
      <c r="D91" s="105">
        <v>0.39</v>
      </c>
      <c r="E91" s="105">
        <v>0.37</v>
      </c>
      <c r="F91" s="105">
        <v>0.35</v>
      </c>
      <c r="G91" s="105">
        <v>0.32</v>
      </c>
      <c r="H91" s="105">
        <v>0.3</v>
      </c>
      <c r="I91" s="105">
        <v>0.28</v>
      </c>
      <c r="J91" s="105">
        <v>0.27</v>
      </c>
      <c r="K91" s="105">
        <v>0.25</v>
      </c>
      <c r="L91" s="105">
        <v>0.23</v>
      </c>
      <c r="M91" s="105">
        <v>0.22</v>
      </c>
      <c r="N91" s="105">
        <v>0.21</v>
      </c>
      <c r="O91" s="105">
        <v>0.19</v>
      </c>
      <c r="P91" s="111">
        <v>0.18</v>
      </c>
      <c r="Q91" s="92"/>
      <c r="R91" s="92"/>
      <c r="S91" s="92"/>
      <c r="T91" s="92"/>
      <c r="U91" s="92"/>
      <c r="V91" s="84"/>
      <c r="W91" s="84"/>
      <c r="X91" s="84"/>
    </row>
    <row r="92">
      <c r="A92" s="94" t="s">
        <v>174</v>
      </c>
      <c r="B92" s="105">
        <v>0.49</v>
      </c>
      <c r="C92" s="84"/>
      <c r="D92" s="105">
        <v>0.46</v>
      </c>
      <c r="E92" s="105">
        <v>0.43</v>
      </c>
      <c r="F92" s="105">
        <v>0.4</v>
      </c>
      <c r="G92" s="105">
        <v>0.38</v>
      </c>
      <c r="H92" s="105">
        <v>0.35</v>
      </c>
      <c r="I92" s="105">
        <v>0.33</v>
      </c>
      <c r="J92" s="105">
        <v>0.31</v>
      </c>
      <c r="K92" s="105">
        <v>0.29</v>
      </c>
      <c r="L92" s="105">
        <v>0.27</v>
      </c>
      <c r="M92" s="105">
        <v>0.26</v>
      </c>
      <c r="N92" s="105">
        <v>0.24</v>
      </c>
      <c r="O92" s="105">
        <v>0.22</v>
      </c>
      <c r="P92" s="111">
        <v>0.21</v>
      </c>
      <c r="Q92" s="92"/>
      <c r="R92" s="92"/>
      <c r="S92" s="92"/>
      <c r="T92" s="92"/>
      <c r="U92" s="92"/>
      <c r="V92" s="84"/>
      <c r="W92" s="84"/>
      <c r="X92" s="84"/>
    </row>
    <row r="93">
      <c r="A93" s="94" t="s">
        <v>175</v>
      </c>
      <c r="B93" s="105">
        <v>0.65</v>
      </c>
      <c r="C93" s="84"/>
      <c r="D93" s="105">
        <v>0.61</v>
      </c>
      <c r="E93" s="105">
        <v>0.58</v>
      </c>
      <c r="F93" s="105">
        <v>0.54</v>
      </c>
      <c r="G93" s="105">
        <v>0.51</v>
      </c>
      <c r="H93" s="105">
        <v>0.48</v>
      </c>
      <c r="I93" s="105">
        <v>0.46</v>
      </c>
      <c r="J93" s="105">
        <v>0.43</v>
      </c>
      <c r="K93" s="105">
        <v>0.4</v>
      </c>
      <c r="L93" s="105">
        <v>0.38</v>
      </c>
      <c r="M93" s="105">
        <v>0.36</v>
      </c>
      <c r="N93" s="105">
        <v>0.34</v>
      </c>
      <c r="O93" s="105">
        <v>0.32</v>
      </c>
      <c r="P93" s="111">
        <v>0.3</v>
      </c>
      <c r="Q93" s="92"/>
      <c r="R93" s="92"/>
      <c r="S93" s="92"/>
      <c r="T93" s="92"/>
      <c r="U93" s="92"/>
      <c r="V93" s="84"/>
      <c r="W93" s="84"/>
      <c r="X93" s="84"/>
    </row>
    <row r="94">
      <c r="A94" s="94" t="s">
        <v>176</v>
      </c>
      <c r="B94" s="105">
        <v>0.83</v>
      </c>
      <c r="C94" s="84"/>
      <c r="D94" s="105">
        <v>0.78</v>
      </c>
      <c r="E94" s="105">
        <v>0.74</v>
      </c>
      <c r="F94" s="105">
        <v>0.69</v>
      </c>
      <c r="G94" s="105">
        <v>0.65</v>
      </c>
      <c r="H94" s="105">
        <v>0.62</v>
      </c>
      <c r="I94" s="105">
        <v>0.58</v>
      </c>
      <c r="J94" s="105">
        <v>0.55</v>
      </c>
      <c r="K94" s="105">
        <v>0.51</v>
      </c>
      <c r="L94" s="105">
        <v>0.48</v>
      </c>
      <c r="M94" s="105">
        <v>0.46</v>
      </c>
      <c r="N94" s="105">
        <v>0.43</v>
      </c>
      <c r="O94" s="105">
        <v>0.4</v>
      </c>
      <c r="P94" s="111">
        <v>0.38</v>
      </c>
      <c r="Q94" s="92"/>
      <c r="R94" s="92"/>
      <c r="S94" s="92"/>
      <c r="T94" s="92"/>
      <c r="U94" s="92"/>
      <c r="V94" s="84"/>
      <c r="W94" s="84"/>
      <c r="X94" s="84"/>
    </row>
    <row r="95">
      <c r="A95" s="91"/>
      <c r="B95" s="84"/>
      <c r="C95" s="84"/>
      <c r="D95" s="92"/>
      <c r="E95" s="92"/>
      <c r="F95" s="92"/>
      <c r="G95" s="92"/>
      <c r="H95" s="92"/>
      <c r="I95" s="92"/>
      <c r="J95" s="92"/>
      <c r="K95" s="92"/>
      <c r="L95" s="92"/>
      <c r="M95" s="92"/>
      <c r="N95" s="92"/>
      <c r="O95" s="92"/>
      <c r="P95" s="92"/>
      <c r="Q95" s="92"/>
      <c r="R95" s="92"/>
      <c r="S95" s="92"/>
      <c r="T95" s="92"/>
      <c r="U95" s="92"/>
      <c r="V95" s="84"/>
      <c r="W95" s="84"/>
      <c r="X95" s="84"/>
    </row>
    <row r="96">
      <c r="A96" s="93" t="s">
        <v>177</v>
      </c>
      <c r="H96" s="92"/>
      <c r="I96" s="92"/>
      <c r="J96" s="92"/>
      <c r="K96" s="92"/>
      <c r="L96" s="92"/>
      <c r="M96" s="92"/>
      <c r="N96" s="92"/>
      <c r="O96" s="92"/>
      <c r="P96" s="92"/>
      <c r="Q96" s="92"/>
      <c r="R96" s="92"/>
      <c r="S96" s="92"/>
      <c r="T96" s="92"/>
      <c r="U96" s="92"/>
      <c r="V96" s="84"/>
      <c r="W96" s="84"/>
      <c r="X96" s="84"/>
    </row>
    <row r="97">
      <c r="A97" s="94" t="s">
        <v>178</v>
      </c>
      <c r="B97" s="102">
        <v>25000.0</v>
      </c>
      <c r="C97" s="98"/>
      <c r="D97" s="102">
        <v>50000.0</v>
      </c>
      <c r="E97" s="102">
        <v>75000.0</v>
      </c>
      <c r="F97" s="102">
        <v>100000.0</v>
      </c>
      <c r="G97" s="102">
        <v>150000.0</v>
      </c>
      <c r="H97" s="102">
        <v>200000.0</v>
      </c>
      <c r="I97" s="102">
        <v>300000.0</v>
      </c>
      <c r="J97" s="102">
        <v>400000.0</v>
      </c>
      <c r="K97" s="102">
        <v>500000.0</v>
      </c>
      <c r="L97" s="102">
        <v>600000.0</v>
      </c>
      <c r="M97" s="102">
        <v>700000.0</v>
      </c>
      <c r="N97" s="102">
        <v>800000.0</v>
      </c>
      <c r="O97" s="102">
        <v>900000.0</v>
      </c>
      <c r="P97" s="102">
        <v>1000000.0</v>
      </c>
      <c r="Q97" s="92"/>
      <c r="R97" s="92"/>
      <c r="S97" s="92"/>
      <c r="T97" s="92"/>
      <c r="U97" s="92"/>
      <c r="V97" s="84"/>
      <c r="W97" s="84"/>
      <c r="X97" s="84"/>
    </row>
    <row r="98">
      <c r="A98" s="94" t="s">
        <v>179</v>
      </c>
      <c r="B98" s="105">
        <v>0.85</v>
      </c>
      <c r="C98" s="84"/>
      <c r="D98" s="97">
        <v>0.72</v>
      </c>
      <c r="E98" s="97">
        <v>0.65</v>
      </c>
      <c r="F98" s="97">
        <v>0.61</v>
      </c>
      <c r="G98" s="97">
        <v>0.55</v>
      </c>
      <c r="H98" s="97">
        <v>0.52</v>
      </c>
      <c r="I98" s="97">
        <v>0.47</v>
      </c>
      <c r="J98" s="97">
        <v>0.44</v>
      </c>
      <c r="K98" s="97">
        <v>0.41</v>
      </c>
      <c r="L98" s="97">
        <v>0.4</v>
      </c>
      <c r="M98" s="97">
        <v>0.38</v>
      </c>
      <c r="N98" s="97">
        <v>0.37</v>
      </c>
      <c r="O98" s="97">
        <v>0.36</v>
      </c>
      <c r="P98" s="97">
        <v>0.35</v>
      </c>
      <c r="Q98" s="92"/>
      <c r="R98" s="92"/>
      <c r="S98" s="92"/>
      <c r="T98" s="92"/>
      <c r="U98" s="92"/>
      <c r="V98" s="84"/>
      <c r="W98" s="84"/>
      <c r="X98" s="84"/>
    </row>
    <row r="99">
      <c r="A99" s="94" t="s">
        <v>180</v>
      </c>
      <c r="B99" s="105">
        <v>0.95</v>
      </c>
      <c r="C99" s="84"/>
      <c r="D99" s="97">
        <v>0.83</v>
      </c>
      <c r="E99" s="97">
        <v>0.76</v>
      </c>
      <c r="F99" s="97">
        <v>0.72</v>
      </c>
      <c r="G99" s="97">
        <v>0.66</v>
      </c>
      <c r="H99" s="97">
        <v>0.62</v>
      </c>
      <c r="I99" s="97">
        <v>0.57</v>
      </c>
      <c r="J99" s="97">
        <v>0.54</v>
      </c>
      <c r="K99" s="97">
        <v>0.52</v>
      </c>
      <c r="L99" s="97">
        <v>0.5</v>
      </c>
      <c r="M99" s="97">
        <v>0.48</v>
      </c>
      <c r="N99" s="97">
        <v>0.47</v>
      </c>
      <c r="O99" s="97">
        <v>0.46</v>
      </c>
      <c r="P99" s="97">
        <v>0.45</v>
      </c>
      <c r="Q99" s="92"/>
      <c r="R99" s="92"/>
      <c r="S99" s="92"/>
      <c r="T99" s="92"/>
      <c r="U99" s="92"/>
      <c r="V99" s="84"/>
      <c r="W99" s="84"/>
      <c r="X99" s="84"/>
    </row>
    <row r="100">
      <c r="A100" s="94" t="s">
        <v>181</v>
      </c>
      <c r="B100" s="105">
        <v>1.05</v>
      </c>
      <c r="C100" s="84"/>
      <c r="D100" s="97">
        <v>0.93</v>
      </c>
      <c r="E100" s="97">
        <v>0.87</v>
      </c>
      <c r="F100" s="97">
        <v>0.82</v>
      </c>
      <c r="G100" s="97">
        <v>0.77</v>
      </c>
      <c r="H100" s="97">
        <v>0.73</v>
      </c>
      <c r="I100" s="97">
        <v>0.68</v>
      </c>
      <c r="J100" s="97">
        <v>0.65</v>
      </c>
      <c r="K100" s="97">
        <v>0.62</v>
      </c>
      <c r="L100" s="97">
        <v>0.6</v>
      </c>
      <c r="M100" s="97">
        <v>0.59</v>
      </c>
      <c r="N100" s="97">
        <v>0.57</v>
      </c>
      <c r="O100" s="97">
        <v>0.56</v>
      </c>
      <c r="P100" s="97">
        <v>0.55</v>
      </c>
      <c r="Q100" s="92"/>
      <c r="R100" s="92"/>
      <c r="S100" s="92"/>
      <c r="T100" s="92"/>
      <c r="U100" s="92"/>
      <c r="V100" s="84"/>
      <c r="W100" s="84"/>
      <c r="X100" s="84"/>
    </row>
    <row r="101">
      <c r="A101" s="94" t="s">
        <v>182</v>
      </c>
      <c r="B101" s="105">
        <v>1.15</v>
      </c>
      <c r="C101" s="84"/>
      <c r="D101" s="97">
        <v>1.03</v>
      </c>
      <c r="E101" s="97">
        <v>0.97</v>
      </c>
      <c r="F101" s="97">
        <v>0.93</v>
      </c>
      <c r="G101" s="97">
        <v>0.87</v>
      </c>
      <c r="H101" s="97">
        <v>0.83</v>
      </c>
      <c r="I101" s="97">
        <v>0.78</v>
      </c>
      <c r="J101" s="97">
        <v>0.75</v>
      </c>
      <c r="K101" s="97">
        <v>0.72</v>
      </c>
      <c r="L101" s="97">
        <v>0.7</v>
      </c>
      <c r="M101" s="97">
        <v>0.69</v>
      </c>
      <c r="N101" s="97">
        <v>0.67</v>
      </c>
      <c r="O101" s="97">
        <v>0.66</v>
      </c>
      <c r="P101" s="97">
        <v>0.65</v>
      </c>
      <c r="Q101" s="92"/>
      <c r="R101" s="92"/>
      <c r="S101" s="92"/>
      <c r="T101" s="92"/>
      <c r="U101" s="92"/>
      <c r="V101" s="84"/>
      <c r="W101" s="84"/>
      <c r="X101" s="84"/>
    </row>
    <row r="102">
      <c r="A102" s="94" t="s">
        <v>183</v>
      </c>
      <c r="B102" s="105">
        <v>1.25</v>
      </c>
      <c r="C102" s="84"/>
      <c r="D102" s="97">
        <v>1.14</v>
      </c>
      <c r="E102" s="97">
        <v>1.07</v>
      </c>
      <c r="F102" s="97">
        <v>1.03</v>
      </c>
      <c r="G102" s="97">
        <v>0.98</v>
      </c>
      <c r="H102" s="97">
        <v>0.94</v>
      </c>
      <c r="I102" s="97">
        <v>0.89</v>
      </c>
      <c r="J102" s="97">
        <v>0.85</v>
      </c>
      <c r="K102" s="97">
        <v>0.83</v>
      </c>
      <c r="L102" s="97">
        <v>0.8</v>
      </c>
      <c r="M102" s="97">
        <v>0.79</v>
      </c>
      <c r="N102" s="97">
        <v>0.77</v>
      </c>
      <c r="O102" s="97">
        <v>0.76</v>
      </c>
      <c r="P102" s="97">
        <v>0.75</v>
      </c>
      <c r="Q102" s="92"/>
      <c r="R102" s="92"/>
      <c r="S102" s="92"/>
      <c r="T102" s="92"/>
      <c r="U102" s="92"/>
      <c r="V102" s="84"/>
      <c r="W102" s="84"/>
      <c r="X102" s="84"/>
    </row>
    <row r="103">
      <c r="A103" s="94" t="s">
        <v>184</v>
      </c>
      <c r="B103" s="105">
        <v>1.35</v>
      </c>
      <c r="C103" s="84"/>
      <c r="D103" s="97">
        <v>1.24</v>
      </c>
      <c r="E103" s="97">
        <v>1.18</v>
      </c>
      <c r="F103" s="97">
        <v>1.13</v>
      </c>
      <c r="G103" s="97">
        <v>1.08</v>
      </c>
      <c r="H103" s="97">
        <v>1.04</v>
      </c>
      <c r="I103" s="97">
        <v>0.99</v>
      </c>
      <c r="J103" s="97">
        <v>0.95</v>
      </c>
      <c r="K103" s="97">
        <v>0.93</v>
      </c>
      <c r="L103" s="97">
        <v>0.91</v>
      </c>
      <c r="M103" s="97">
        <v>0.89</v>
      </c>
      <c r="N103" s="97">
        <v>0.87</v>
      </c>
      <c r="O103" s="97">
        <v>0.86</v>
      </c>
      <c r="P103" s="97">
        <v>0.85</v>
      </c>
      <c r="Q103" s="92"/>
      <c r="R103" s="92"/>
      <c r="S103" s="92"/>
      <c r="T103" s="92"/>
      <c r="U103" s="92"/>
      <c r="V103" s="84"/>
      <c r="W103" s="84"/>
      <c r="X103" s="84"/>
    </row>
    <row r="104">
      <c r="A104" s="94" t="s">
        <v>185</v>
      </c>
      <c r="B104" s="105">
        <v>1.5</v>
      </c>
      <c r="C104" s="84"/>
      <c r="D104" s="97">
        <v>1.39</v>
      </c>
      <c r="E104" s="97">
        <v>1.33</v>
      </c>
      <c r="F104" s="97">
        <v>1.29</v>
      </c>
      <c r="G104" s="97">
        <v>1.23</v>
      </c>
      <c r="H104" s="97">
        <v>1.19</v>
      </c>
      <c r="I104" s="97">
        <v>1.14</v>
      </c>
      <c r="J104" s="97">
        <v>1.11</v>
      </c>
      <c r="K104" s="97">
        <v>1.08</v>
      </c>
      <c r="L104" s="97">
        <v>1.06</v>
      </c>
      <c r="M104" s="97">
        <v>1.04</v>
      </c>
      <c r="N104" s="97">
        <v>1.02</v>
      </c>
      <c r="O104" s="97">
        <v>1.01</v>
      </c>
      <c r="P104" s="97">
        <v>1.0</v>
      </c>
      <c r="Q104" s="92"/>
      <c r="R104" s="92"/>
      <c r="S104" s="92"/>
      <c r="T104" s="92"/>
      <c r="U104" s="92"/>
      <c r="V104" s="84"/>
      <c r="W104" s="84"/>
      <c r="X104" s="84"/>
    </row>
    <row r="105">
      <c r="A105" s="94" t="s">
        <v>186</v>
      </c>
      <c r="B105" s="105">
        <v>1.6</v>
      </c>
      <c r="C105" s="84"/>
      <c r="D105" s="97">
        <v>1.49</v>
      </c>
      <c r="E105" s="97">
        <v>1.43</v>
      </c>
      <c r="F105" s="97">
        <v>1.39</v>
      </c>
      <c r="G105" s="97">
        <v>1.33</v>
      </c>
      <c r="H105" s="97">
        <v>1.3</v>
      </c>
      <c r="I105" s="97">
        <v>1.24</v>
      </c>
      <c r="J105" s="97">
        <v>1.21</v>
      </c>
      <c r="K105" s="97">
        <v>1.18</v>
      </c>
      <c r="L105" s="97">
        <v>1.16</v>
      </c>
      <c r="M105" s="97">
        <v>1.14</v>
      </c>
      <c r="N105" s="97">
        <v>1.13</v>
      </c>
      <c r="O105" s="97">
        <v>1.11</v>
      </c>
      <c r="P105" s="97">
        <v>1.1</v>
      </c>
      <c r="Q105" s="92"/>
      <c r="R105" s="92"/>
      <c r="S105" s="92"/>
      <c r="T105" s="92"/>
      <c r="U105" s="92"/>
      <c r="V105" s="84"/>
      <c r="W105" s="84"/>
      <c r="X105" s="84"/>
    </row>
    <row r="106">
      <c r="A106" s="94" t="s">
        <v>187</v>
      </c>
      <c r="B106" s="105">
        <v>1.7</v>
      </c>
      <c r="C106" s="84"/>
      <c r="D106" s="97">
        <v>1.59</v>
      </c>
      <c r="E106" s="97">
        <v>1.53</v>
      </c>
      <c r="F106" s="97">
        <v>1.49</v>
      </c>
      <c r="G106" s="97">
        <v>1.44</v>
      </c>
      <c r="H106" s="97">
        <v>1.4</v>
      </c>
      <c r="I106" s="97">
        <v>1.34</v>
      </c>
      <c r="J106" s="97">
        <v>1.31</v>
      </c>
      <c r="K106" s="97">
        <v>1.28</v>
      </c>
      <c r="L106" s="97">
        <v>1.26</v>
      </c>
      <c r="M106" s="97">
        <v>1.24</v>
      </c>
      <c r="N106" s="97">
        <v>1.23</v>
      </c>
      <c r="O106" s="97">
        <v>1.21</v>
      </c>
      <c r="P106" s="97">
        <v>1.2</v>
      </c>
      <c r="Q106" s="92"/>
      <c r="R106" s="92"/>
      <c r="S106" s="92"/>
      <c r="T106" s="92"/>
      <c r="U106" s="92"/>
      <c r="V106" s="84"/>
      <c r="W106" s="84"/>
      <c r="X106" s="84"/>
    </row>
    <row r="107">
      <c r="A107" s="94" t="s">
        <v>188</v>
      </c>
      <c r="B107" s="105">
        <v>1.8</v>
      </c>
      <c r="C107" s="84"/>
      <c r="D107" s="97">
        <v>1.69</v>
      </c>
      <c r="E107" s="97">
        <v>1.63</v>
      </c>
      <c r="F107" s="97">
        <v>1.59</v>
      </c>
      <c r="G107" s="97">
        <v>1.54</v>
      </c>
      <c r="H107" s="97">
        <v>1.5</v>
      </c>
      <c r="I107" s="97">
        <v>1.45</v>
      </c>
      <c r="J107" s="97">
        <v>1.41</v>
      </c>
      <c r="K107" s="97">
        <v>1.38</v>
      </c>
      <c r="L107" s="97">
        <v>1.36</v>
      </c>
      <c r="M107" s="97">
        <v>1.34</v>
      </c>
      <c r="N107" s="97">
        <v>1.33</v>
      </c>
      <c r="O107" s="97">
        <v>1.31</v>
      </c>
      <c r="P107" s="97">
        <v>1.3</v>
      </c>
      <c r="Q107" s="92"/>
      <c r="R107" s="92"/>
      <c r="S107" s="92"/>
      <c r="T107" s="92"/>
      <c r="U107" s="92"/>
      <c r="V107" s="84"/>
      <c r="W107" s="84"/>
      <c r="X107" s="84"/>
    </row>
  </sheetData>
  <mergeCells count="23">
    <mergeCell ref="A24:H24"/>
    <mergeCell ref="A40:J40"/>
    <mergeCell ref="A49:B49"/>
    <mergeCell ref="A54:B54"/>
    <mergeCell ref="C55:F55"/>
    <mergeCell ref="C56:E56"/>
    <mergeCell ref="C57:E57"/>
    <mergeCell ref="C58:E58"/>
    <mergeCell ref="C59:F59"/>
    <mergeCell ref="C60:F60"/>
    <mergeCell ref="C61:E61"/>
    <mergeCell ref="C62:E62"/>
    <mergeCell ref="C63:E63"/>
    <mergeCell ref="C64:F64"/>
    <mergeCell ref="A88:H88"/>
    <mergeCell ref="A96:G96"/>
    <mergeCell ref="C65:E65"/>
    <mergeCell ref="A67:B67"/>
    <mergeCell ref="C68:E68"/>
    <mergeCell ref="C69:D69"/>
    <mergeCell ref="C70:E70"/>
    <mergeCell ref="A80:H80"/>
    <mergeCell ref="A81:F8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0" t="s">
        <v>189</v>
      </c>
      <c r="B1" s="110" t="s">
        <v>190</v>
      </c>
      <c r="C1" s="110" t="s">
        <v>191</v>
      </c>
      <c r="D1" s="110" t="s">
        <v>192</v>
      </c>
      <c r="E1" s="110" t="s">
        <v>193</v>
      </c>
      <c r="F1" s="110" t="s">
        <v>194</v>
      </c>
      <c r="G1" s="110" t="s">
        <v>195</v>
      </c>
      <c r="H1" s="110" t="s">
        <v>196</v>
      </c>
      <c r="I1" s="110" t="s">
        <v>197</v>
      </c>
      <c r="J1" s="110" t="s">
        <v>198</v>
      </c>
      <c r="K1" s="84"/>
      <c r="L1" s="84"/>
    </row>
    <row r="2">
      <c r="A2" s="110" t="s">
        <v>199</v>
      </c>
      <c r="B2" s="104">
        <v>0.0</v>
      </c>
      <c r="C2" s="110" t="s">
        <v>200</v>
      </c>
      <c r="D2" s="110" t="s">
        <v>201</v>
      </c>
      <c r="E2" s="104">
        <v>0.0</v>
      </c>
      <c r="F2" s="104">
        <v>11.91</v>
      </c>
      <c r="G2" s="104">
        <v>0.0</v>
      </c>
      <c r="H2" s="112">
        <v>45667.0</v>
      </c>
      <c r="I2" s="104">
        <v>0.0</v>
      </c>
      <c r="J2" s="104">
        <v>0.0</v>
      </c>
      <c r="K2" s="110" t="s">
        <v>202</v>
      </c>
      <c r="L2" s="110" t="s">
        <v>189</v>
      </c>
    </row>
    <row r="3">
      <c r="A3" s="110" t="s">
        <v>203</v>
      </c>
      <c r="B3" s="104">
        <v>0.0</v>
      </c>
      <c r="C3" s="110" t="s">
        <v>204</v>
      </c>
      <c r="D3" s="110" t="s">
        <v>205</v>
      </c>
      <c r="E3" s="104">
        <v>0.0</v>
      </c>
      <c r="F3" s="104">
        <v>7.54</v>
      </c>
      <c r="G3" s="110" t="s">
        <v>206</v>
      </c>
      <c r="H3" s="112">
        <v>45925.0</v>
      </c>
      <c r="I3" s="104">
        <v>0.0</v>
      </c>
      <c r="J3" s="104">
        <v>0.0</v>
      </c>
      <c r="K3" s="110" t="s">
        <v>207</v>
      </c>
      <c r="L3" s="110" t="s">
        <v>199</v>
      </c>
    </row>
    <row r="4">
      <c r="A4" s="110" t="s">
        <v>208</v>
      </c>
      <c r="B4" s="104">
        <v>0.0</v>
      </c>
      <c r="C4" s="110" t="s">
        <v>209</v>
      </c>
      <c r="D4" s="110" t="s">
        <v>210</v>
      </c>
      <c r="E4" s="104">
        <v>0.0</v>
      </c>
      <c r="F4" s="104">
        <v>26.5</v>
      </c>
      <c r="G4" s="110" t="s">
        <v>211</v>
      </c>
      <c r="H4" s="112">
        <v>45985.0</v>
      </c>
      <c r="I4" s="110" t="s">
        <v>208</v>
      </c>
      <c r="J4" s="104">
        <v>0.0</v>
      </c>
      <c r="K4" s="110" t="s">
        <v>212</v>
      </c>
      <c r="L4" s="110" t="s">
        <v>203</v>
      </c>
    </row>
    <row r="5">
      <c r="A5" s="110" t="s">
        <v>213</v>
      </c>
      <c r="B5" s="104">
        <v>0.0</v>
      </c>
      <c r="C5" s="110" t="s">
        <v>209</v>
      </c>
      <c r="D5" s="110" t="s">
        <v>210</v>
      </c>
      <c r="E5" s="104">
        <v>0.0</v>
      </c>
      <c r="F5" s="104">
        <v>35.0</v>
      </c>
      <c r="G5" s="110" t="s">
        <v>211</v>
      </c>
      <c r="H5" s="112">
        <v>45985.0</v>
      </c>
      <c r="I5" s="110" t="s">
        <v>213</v>
      </c>
      <c r="J5" s="104">
        <v>0.0</v>
      </c>
      <c r="K5" s="110" t="s">
        <v>214</v>
      </c>
      <c r="L5" s="110" t="s">
        <v>208</v>
      </c>
    </row>
    <row r="6">
      <c r="A6" s="110" t="s">
        <v>215</v>
      </c>
      <c r="B6" s="104">
        <v>0.0</v>
      </c>
      <c r="C6" s="110" t="s">
        <v>216</v>
      </c>
      <c r="D6" s="110" t="s">
        <v>217</v>
      </c>
      <c r="E6" s="104">
        <v>0.0</v>
      </c>
      <c r="F6" s="104">
        <v>80.0</v>
      </c>
      <c r="G6" s="110" t="s">
        <v>218</v>
      </c>
      <c r="H6" s="112">
        <v>45923.0</v>
      </c>
      <c r="I6" s="110" t="s">
        <v>215</v>
      </c>
      <c r="J6" s="104">
        <v>0.0</v>
      </c>
      <c r="K6" s="110" t="s">
        <v>219</v>
      </c>
      <c r="L6" s="110" t="s">
        <v>213</v>
      </c>
    </row>
    <row r="7">
      <c r="A7" s="110" t="s">
        <v>220</v>
      </c>
      <c r="B7" s="104">
        <v>0.0</v>
      </c>
      <c r="C7" s="110" t="s">
        <v>221</v>
      </c>
      <c r="D7" s="104">
        <v>0.0</v>
      </c>
      <c r="E7" s="104">
        <v>0.0</v>
      </c>
      <c r="F7" s="110" t="s">
        <v>222</v>
      </c>
      <c r="G7" s="110" t="s">
        <v>223</v>
      </c>
      <c r="H7" s="112">
        <v>45807.0</v>
      </c>
      <c r="I7" s="104">
        <v>0.0</v>
      </c>
      <c r="J7" s="104">
        <v>0.0</v>
      </c>
      <c r="K7" s="110" t="s">
        <v>224</v>
      </c>
      <c r="L7" s="110" t="s">
        <v>215</v>
      </c>
    </row>
    <row r="8">
      <c r="A8" s="110" t="s">
        <v>225</v>
      </c>
      <c r="B8" s="104">
        <v>0.0</v>
      </c>
      <c r="C8" s="110" t="s">
        <v>221</v>
      </c>
      <c r="D8" s="110" t="s">
        <v>226</v>
      </c>
      <c r="E8" s="104">
        <v>0.0</v>
      </c>
      <c r="F8" s="110" t="s">
        <v>227</v>
      </c>
      <c r="G8" s="110" t="s">
        <v>228</v>
      </c>
      <c r="H8" s="112">
        <v>45854.0</v>
      </c>
      <c r="I8" s="104">
        <v>0.0</v>
      </c>
      <c r="J8" s="104">
        <v>0.0</v>
      </c>
      <c r="K8" s="110" t="s">
        <v>229</v>
      </c>
      <c r="L8" s="110" t="s">
        <v>220</v>
      </c>
    </row>
    <row r="9">
      <c r="A9" s="110" t="s">
        <v>230</v>
      </c>
      <c r="B9" s="104">
        <v>0.0</v>
      </c>
      <c r="C9" s="110" t="s">
        <v>231</v>
      </c>
      <c r="D9" s="110" t="s">
        <v>217</v>
      </c>
      <c r="E9" s="104">
        <v>0.0</v>
      </c>
      <c r="F9" s="104">
        <v>0.0</v>
      </c>
      <c r="G9" s="104">
        <v>0.0</v>
      </c>
      <c r="H9" s="104" t="s">
        <v>232</v>
      </c>
      <c r="I9" s="104">
        <v>0.0</v>
      </c>
      <c r="J9" s="104">
        <v>0.0</v>
      </c>
      <c r="K9" s="110" t="s">
        <v>233</v>
      </c>
      <c r="L9" s="110" t="s">
        <v>225</v>
      </c>
    </row>
    <row r="10">
      <c r="A10" s="110" t="s">
        <v>234</v>
      </c>
      <c r="B10" s="104">
        <v>0.0</v>
      </c>
      <c r="C10" s="110" t="s">
        <v>231</v>
      </c>
      <c r="D10" s="110" t="s">
        <v>217</v>
      </c>
      <c r="E10" s="104">
        <v>0.0</v>
      </c>
      <c r="F10" s="104">
        <v>0.0</v>
      </c>
      <c r="G10" s="104">
        <v>0.0</v>
      </c>
      <c r="H10" s="104" t="s">
        <v>232</v>
      </c>
      <c r="I10" s="104">
        <v>0.0</v>
      </c>
      <c r="J10" s="104">
        <v>0.0</v>
      </c>
      <c r="K10" s="110" t="s">
        <v>235</v>
      </c>
      <c r="L10" s="110" t="s">
        <v>230</v>
      </c>
    </row>
    <row r="11">
      <c r="A11" s="110" t="s">
        <v>236</v>
      </c>
      <c r="B11" s="104">
        <v>0.0</v>
      </c>
      <c r="C11" s="110" t="s">
        <v>237</v>
      </c>
      <c r="D11" s="110" t="s">
        <v>210</v>
      </c>
      <c r="E11" s="104">
        <v>0.0</v>
      </c>
      <c r="F11" s="104">
        <v>124.0</v>
      </c>
      <c r="G11" s="110" t="s">
        <v>238</v>
      </c>
      <c r="H11" s="112">
        <v>45912.0</v>
      </c>
      <c r="I11" s="110" t="s">
        <v>239</v>
      </c>
      <c r="J11" s="104">
        <v>0.0</v>
      </c>
      <c r="K11" s="110" t="s">
        <v>240</v>
      </c>
      <c r="L11" s="110" t="s">
        <v>234</v>
      </c>
    </row>
    <row r="12">
      <c r="A12" s="110" t="s">
        <v>241</v>
      </c>
      <c r="B12" s="104">
        <v>0.0</v>
      </c>
      <c r="C12" s="110" t="s">
        <v>242</v>
      </c>
      <c r="D12" s="110" t="s">
        <v>217</v>
      </c>
      <c r="E12" s="104">
        <v>0.0</v>
      </c>
      <c r="F12" s="104">
        <v>3.35</v>
      </c>
      <c r="G12" s="110" t="s">
        <v>243</v>
      </c>
      <c r="H12" s="112">
        <v>45831.0</v>
      </c>
      <c r="I12" s="110" t="s">
        <v>244</v>
      </c>
      <c r="J12" s="104">
        <v>0.0</v>
      </c>
      <c r="K12" s="110" t="s">
        <v>245</v>
      </c>
      <c r="L12" s="110" t="s">
        <v>236</v>
      </c>
    </row>
    <row r="13">
      <c r="A13" s="110" t="s">
        <v>246</v>
      </c>
      <c r="B13" s="104">
        <v>0.0</v>
      </c>
      <c r="C13" s="110" t="s">
        <v>247</v>
      </c>
      <c r="D13" s="110" t="s">
        <v>210</v>
      </c>
      <c r="E13" s="104">
        <v>0.0</v>
      </c>
      <c r="F13" s="104">
        <v>0.0</v>
      </c>
      <c r="G13" s="110" t="s">
        <v>248</v>
      </c>
      <c r="H13" s="112">
        <v>45895.0</v>
      </c>
      <c r="I13" s="110" t="s">
        <v>246</v>
      </c>
      <c r="J13" s="104">
        <v>0.0</v>
      </c>
      <c r="K13" s="110" t="s">
        <v>249</v>
      </c>
      <c r="L13" s="110" t="s">
        <v>241</v>
      </c>
    </row>
    <row r="14">
      <c r="A14" s="110" t="s">
        <v>250</v>
      </c>
      <c r="B14" s="104">
        <v>0.0</v>
      </c>
      <c r="C14" s="110" t="s">
        <v>247</v>
      </c>
      <c r="D14" s="110" t="s">
        <v>210</v>
      </c>
      <c r="E14" s="104">
        <v>0.0</v>
      </c>
      <c r="F14" s="104">
        <v>0.0</v>
      </c>
      <c r="G14" s="110" t="s">
        <v>248</v>
      </c>
      <c r="H14" s="112">
        <v>45895.0</v>
      </c>
      <c r="I14" s="110" t="s">
        <v>250</v>
      </c>
      <c r="J14" s="104">
        <v>0.0</v>
      </c>
      <c r="K14" s="110" t="s">
        <v>251</v>
      </c>
      <c r="L14" s="110" t="s">
        <v>246</v>
      </c>
    </row>
    <row r="15">
      <c r="A15" s="110" t="s">
        <v>252</v>
      </c>
      <c r="B15" s="104">
        <v>0.0</v>
      </c>
      <c r="C15" s="110" t="s">
        <v>247</v>
      </c>
      <c r="D15" s="110" t="s">
        <v>210</v>
      </c>
      <c r="E15" s="104">
        <v>0.0</v>
      </c>
      <c r="F15" s="104">
        <v>19.4</v>
      </c>
      <c r="G15" s="110" t="s">
        <v>238</v>
      </c>
      <c r="H15" s="112">
        <v>45888.0</v>
      </c>
      <c r="I15" s="110" t="s">
        <v>252</v>
      </c>
      <c r="J15" s="104">
        <v>0.0</v>
      </c>
      <c r="K15" s="110" t="s">
        <v>253</v>
      </c>
      <c r="L15" s="110" t="s">
        <v>250</v>
      </c>
    </row>
    <row r="16">
      <c r="A16" s="110" t="s">
        <v>254</v>
      </c>
      <c r="B16" s="110" t="s">
        <v>255</v>
      </c>
      <c r="C16" s="110" t="s">
        <v>256</v>
      </c>
      <c r="D16" s="110" t="s">
        <v>217</v>
      </c>
      <c r="E16" s="104">
        <v>0.0</v>
      </c>
      <c r="F16" s="104">
        <v>23.37</v>
      </c>
      <c r="G16" s="110" t="s">
        <v>257</v>
      </c>
      <c r="H16" s="112">
        <v>45811.0</v>
      </c>
      <c r="I16" s="110" t="s">
        <v>258</v>
      </c>
      <c r="J16" s="104">
        <v>0.0</v>
      </c>
      <c r="K16" s="110" t="s">
        <v>259</v>
      </c>
      <c r="L16" s="110" t="s">
        <v>252</v>
      </c>
    </row>
    <row r="17">
      <c r="A17" s="110" t="s">
        <v>260</v>
      </c>
      <c r="B17" s="104">
        <v>0.0</v>
      </c>
      <c r="C17" s="110" t="s">
        <v>261</v>
      </c>
      <c r="D17" s="110" t="s">
        <v>217</v>
      </c>
      <c r="E17" s="104">
        <v>0.0</v>
      </c>
      <c r="F17" s="104">
        <v>10.0</v>
      </c>
      <c r="G17" s="110" t="s">
        <v>262</v>
      </c>
      <c r="H17" s="112">
        <v>45915.0</v>
      </c>
      <c r="I17" s="110" t="s">
        <v>263</v>
      </c>
      <c r="J17" s="104">
        <v>0.0</v>
      </c>
      <c r="K17" s="110" t="s">
        <v>264</v>
      </c>
      <c r="L17" s="110" t="s">
        <v>254</v>
      </c>
    </row>
    <row r="18">
      <c r="A18" s="110" t="s">
        <v>265</v>
      </c>
      <c r="B18" s="104">
        <v>0.0</v>
      </c>
      <c r="C18" s="110" t="s">
        <v>266</v>
      </c>
      <c r="D18" s="110" t="s">
        <v>267</v>
      </c>
      <c r="E18" s="104">
        <v>0.0</v>
      </c>
      <c r="F18" s="104">
        <v>27.0</v>
      </c>
      <c r="G18" s="110" t="s">
        <v>268</v>
      </c>
      <c r="H18" s="112">
        <v>45930.0</v>
      </c>
      <c r="I18" s="104">
        <v>0.0</v>
      </c>
      <c r="J18" s="104">
        <v>0.0</v>
      </c>
      <c r="K18" s="110" t="s">
        <v>269</v>
      </c>
      <c r="L18" s="110" t="s">
        <v>260</v>
      </c>
    </row>
    <row r="19">
      <c r="A19" s="110" t="s">
        <v>270</v>
      </c>
      <c r="B19" s="104">
        <v>0.0</v>
      </c>
      <c r="C19" s="110" t="s">
        <v>209</v>
      </c>
      <c r="D19" s="110" t="s">
        <v>217</v>
      </c>
      <c r="E19" s="104">
        <v>0.0</v>
      </c>
      <c r="F19" s="104">
        <v>0.0</v>
      </c>
      <c r="G19" s="104">
        <v>0.0</v>
      </c>
      <c r="H19" s="104" t="s">
        <v>232</v>
      </c>
      <c r="I19" s="104">
        <v>0.0</v>
      </c>
      <c r="J19" s="104">
        <v>0.0</v>
      </c>
      <c r="K19" s="110" t="s">
        <v>271</v>
      </c>
      <c r="L19" s="110" t="s">
        <v>265</v>
      </c>
    </row>
    <row r="20">
      <c r="A20" s="110" t="s">
        <v>272</v>
      </c>
      <c r="B20" s="104">
        <v>0.0</v>
      </c>
      <c r="C20" s="110" t="s">
        <v>273</v>
      </c>
      <c r="D20" s="110" t="s">
        <v>274</v>
      </c>
      <c r="E20" s="104">
        <v>0.0</v>
      </c>
      <c r="F20" s="104">
        <v>9.69</v>
      </c>
      <c r="G20" s="110" t="s">
        <v>238</v>
      </c>
      <c r="H20" s="112">
        <v>45846.0</v>
      </c>
      <c r="I20" s="110" t="s">
        <v>275</v>
      </c>
      <c r="J20" s="104">
        <v>0.0</v>
      </c>
      <c r="K20" s="110" t="s">
        <v>276</v>
      </c>
      <c r="L20" s="110" t="s">
        <v>270</v>
      </c>
    </row>
    <row r="21">
      <c r="A21" s="110" t="s">
        <v>277</v>
      </c>
      <c r="B21" s="104">
        <v>0.0</v>
      </c>
      <c r="C21" s="110" t="s">
        <v>209</v>
      </c>
      <c r="D21" s="110" t="s">
        <v>217</v>
      </c>
      <c r="E21" s="104">
        <v>0.0</v>
      </c>
      <c r="F21" s="104">
        <v>0.0</v>
      </c>
      <c r="G21" s="104">
        <v>0.0</v>
      </c>
      <c r="H21" s="104" t="s">
        <v>232</v>
      </c>
      <c r="I21" s="104">
        <v>0.0</v>
      </c>
      <c r="J21" s="104">
        <v>0.0</v>
      </c>
      <c r="K21" s="110" t="s">
        <v>278</v>
      </c>
      <c r="L21" s="110" t="s">
        <v>272</v>
      </c>
    </row>
    <row r="22">
      <c r="A22" s="110" t="s">
        <v>279</v>
      </c>
      <c r="B22" s="104">
        <v>0.0</v>
      </c>
      <c r="C22" s="110" t="s">
        <v>280</v>
      </c>
      <c r="D22" s="110" t="s">
        <v>210</v>
      </c>
      <c r="E22" s="104">
        <v>0.0</v>
      </c>
      <c r="F22" s="104">
        <v>2990.0</v>
      </c>
      <c r="G22" s="110" t="s">
        <v>211</v>
      </c>
      <c r="H22" s="112">
        <v>45876.0</v>
      </c>
      <c r="I22" s="110" t="s">
        <v>279</v>
      </c>
      <c r="J22" s="104">
        <v>0.0</v>
      </c>
      <c r="K22" s="110" t="s">
        <v>281</v>
      </c>
      <c r="L22" s="110" t="s">
        <v>277</v>
      </c>
    </row>
    <row r="23">
      <c r="A23" s="110" t="s">
        <v>282</v>
      </c>
      <c r="B23" s="104">
        <v>0.0</v>
      </c>
      <c r="C23" s="110" t="s">
        <v>209</v>
      </c>
      <c r="D23" s="110" t="s">
        <v>217</v>
      </c>
      <c r="E23" s="104">
        <v>0.0</v>
      </c>
      <c r="F23" s="104">
        <v>0.0</v>
      </c>
      <c r="G23" s="104">
        <v>0.0</v>
      </c>
      <c r="H23" s="104" t="s">
        <v>232</v>
      </c>
      <c r="I23" s="104">
        <v>0.0</v>
      </c>
      <c r="J23" s="104">
        <v>0.0</v>
      </c>
      <c r="K23" s="110" t="s">
        <v>283</v>
      </c>
      <c r="L23" s="110" t="s">
        <v>279</v>
      </c>
    </row>
    <row r="24">
      <c r="A24" s="110" t="s">
        <v>284</v>
      </c>
      <c r="B24" s="104">
        <v>0.0</v>
      </c>
      <c r="C24" s="110" t="s">
        <v>285</v>
      </c>
      <c r="D24" s="110" t="s">
        <v>210</v>
      </c>
      <c r="E24" s="104">
        <v>0.0</v>
      </c>
      <c r="F24" s="104">
        <v>32.0</v>
      </c>
      <c r="G24" s="110" t="s">
        <v>218</v>
      </c>
      <c r="H24" s="112">
        <v>45911.0</v>
      </c>
      <c r="I24" s="110" t="s">
        <v>286</v>
      </c>
      <c r="J24" s="104">
        <v>0.0</v>
      </c>
      <c r="K24" s="110" t="s">
        <v>287</v>
      </c>
      <c r="L24" s="110" t="s">
        <v>282</v>
      </c>
    </row>
    <row r="25">
      <c r="A25" s="110" t="s">
        <v>284</v>
      </c>
      <c r="B25" s="104">
        <v>0.0</v>
      </c>
      <c r="C25" s="110" t="s">
        <v>285</v>
      </c>
      <c r="D25" s="110" t="s">
        <v>210</v>
      </c>
      <c r="E25" s="104">
        <v>0.0</v>
      </c>
      <c r="F25" s="104">
        <v>30.0</v>
      </c>
      <c r="G25" s="110" t="s">
        <v>288</v>
      </c>
      <c r="H25" s="112">
        <v>45911.0</v>
      </c>
      <c r="I25" s="110" t="s">
        <v>286</v>
      </c>
      <c r="J25" s="104">
        <v>0.0</v>
      </c>
      <c r="K25" s="110" t="s">
        <v>287</v>
      </c>
      <c r="L25" s="110" t="s">
        <v>284</v>
      </c>
    </row>
    <row r="26">
      <c r="A26" s="110" t="s">
        <v>284</v>
      </c>
      <c r="B26" s="104">
        <v>0.0</v>
      </c>
      <c r="C26" s="110" t="s">
        <v>285</v>
      </c>
      <c r="D26" s="110" t="s">
        <v>210</v>
      </c>
      <c r="E26" s="104">
        <v>0.0</v>
      </c>
      <c r="F26" s="104">
        <v>27.98</v>
      </c>
      <c r="G26" s="110" t="s">
        <v>289</v>
      </c>
      <c r="H26" s="112">
        <v>45911.0</v>
      </c>
      <c r="I26" s="110" t="s">
        <v>286</v>
      </c>
      <c r="J26" s="104">
        <v>0.0</v>
      </c>
      <c r="K26" s="110" t="s">
        <v>287</v>
      </c>
      <c r="L26" s="110" t="s">
        <v>290</v>
      </c>
    </row>
    <row r="27">
      <c r="A27" s="110" t="s">
        <v>290</v>
      </c>
      <c r="B27" s="104">
        <v>0.0</v>
      </c>
      <c r="C27" s="110" t="s">
        <v>247</v>
      </c>
      <c r="D27" s="110" t="s">
        <v>210</v>
      </c>
      <c r="E27" s="104">
        <v>0.0</v>
      </c>
      <c r="F27" s="104">
        <v>0.0</v>
      </c>
      <c r="G27" s="104">
        <v>0.0</v>
      </c>
      <c r="H27" s="104" t="s">
        <v>232</v>
      </c>
      <c r="I27" s="104">
        <v>0.0</v>
      </c>
      <c r="J27" s="104">
        <v>0.0</v>
      </c>
      <c r="K27" s="110" t="s">
        <v>291</v>
      </c>
      <c r="L27" s="110" t="s">
        <v>292</v>
      </c>
    </row>
    <row r="28">
      <c r="A28" s="110" t="s">
        <v>292</v>
      </c>
      <c r="B28" s="104">
        <v>0.0</v>
      </c>
      <c r="C28" s="110" t="s">
        <v>293</v>
      </c>
      <c r="D28" s="110" t="s">
        <v>226</v>
      </c>
      <c r="E28" s="104">
        <v>0.0</v>
      </c>
      <c r="F28" s="104">
        <v>4.39</v>
      </c>
      <c r="G28" s="110" t="s">
        <v>238</v>
      </c>
      <c r="H28" s="112">
        <v>45932.0</v>
      </c>
      <c r="I28" s="104">
        <v>0.0</v>
      </c>
      <c r="J28" s="104">
        <v>0.0</v>
      </c>
      <c r="K28" s="110" t="s">
        <v>294</v>
      </c>
      <c r="L28" s="110" t="s">
        <v>295</v>
      </c>
    </row>
    <row r="29">
      <c r="A29" s="110" t="s">
        <v>295</v>
      </c>
      <c r="B29" s="104">
        <v>0.0</v>
      </c>
      <c r="C29" s="110" t="s">
        <v>293</v>
      </c>
      <c r="D29" s="110" t="s">
        <v>226</v>
      </c>
      <c r="E29" s="104">
        <v>0.0</v>
      </c>
      <c r="F29" s="104">
        <v>6.39</v>
      </c>
      <c r="G29" s="110" t="s">
        <v>238</v>
      </c>
      <c r="H29" s="112">
        <v>44887.0</v>
      </c>
      <c r="I29" s="104">
        <v>0.0</v>
      </c>
      <c r="J29" s="104">
        <v>0.0</v>
      </c>
      <c r="K29" s="110" t="s">
        <v>296</v>
      </c>
      <c r="L29" s="110" t="s">
        <v>297</v>
      </c>
    </row>
    <row r="30">
      <c r="A30" s="110" t="s">
        <v>297</v>
      </c>
      <c r="B30" s="104">
        <v>0.0</v>
      </c>
      <c r="C30" s="110" t="s">
        <v>266</v>
      </c>
      <c r="D30" s="110" t="s">
        <v>217</v>
      </c>
      <c r="E30" s="104">
        <v>0.0</v>
      </c>
      <c r="F30" s="104">
        <v>55.0</v>
      </c>
      <c r="G30" s="110" t="s">
        <v>268</v>
      </c>
      <c r="H30" s="112">
        <v>45930.0</v>
      </c>
      <c r="I30" s="104">
        <v>0.0</v>
      </c>
      <c r="J30" s="104">
        <v>0.0</v>
      </c>
      <c r="K30" s="110" t="s">
        <v>298</v>
      </c>
      <c r="L30" s="110" t="s">
        <v>299</v>
      </c>
    </row>
    <row r="31">
      <c r="A31" s="110" t="s">
        <v>299</v>
      </c>
      <c r="B31" s="104">
        <v>0.0</v>
      </c>
      <c r="C31" s="110" t="s">
        <v>209</v>
      </c>
      <c r="D31" s="110" t="s">
        <v>217</v>
      </c>
      <c r="E31" s="104">
        <v>0.0</v>
      </c>
      <c r="F31" s="104">
        <v>0.0</v>
      </c>
      <c r="G31" s="104">
        <v>0.0</v>
      </c>
      <c r="H31" s="104" t="s">
        <v>232</v>
      </c>
      <c r="I31" s="104">
        <v>0.0</v>
      </c>
      <c r="J31" s="104">
        <v>0.0</v>
      </c>
      <c r="K31" s="110" t="s">
        <v>300</v>
      </c>
      <c r="L31" s="110" t="s">
        <v>301</v>
      </c>
    </row>
    <row r="32">
      <c r="A32" s="110" t="s">
        <v>299</v>
      </c>
      <c r="B32" s="104">
        <v>0.0</v>
      </c>
      <c r="C32" s="110" t="s">
        <v>209</v>
      </c>
      <c r="D32" s="110" t="s">
        <v>217</v>
      </c>
      <c r="E32" s="104">
        <v>0.0</v>
      </c>
      <c r="F32" s="104">
        <v>55.0</v>
      </c>
      <c r="G32" s="110" t="s">
        <v>302</v>
      </c>
      <c r="H32" s="112">
        <v>45854.0</v>
      </c>
      <c r="I32" s="110" t="s">
        <v>299</v>
      </c>
      <c r="J32" s="104">
        <v>0.0</v>
      </c>
      <c r="K32" s="110" t="s">
        <v>300</v>
      </c>
      <c r="L32" s="110" t="s">
        <v>303</v>
      </c>
    </row>
    <row r="33">
      <c r="A33" s="110" t="s">
        <v>301</v>
      </c>
      <c r="B33" s="104">
        <v>0.0</v>
      </c>
      <c r="C33" s="110" t="s">
        <v>209</v>
      </c>
      <c r="D33" s="110" t="s">
        <v>217</v>
      </c>
      <c r="E33" s="104">
        <v>0.0</v>
      </c>
      <c r="F33" s="104">
        <v>0.0</v>
      </c>
      <c r="G33" s="104">
        <v>0.0</v>
      </c>
      <c r="H33" s="104" t="s">
        <v>232</v>
      </c>
      <c r="I33" s="104">
        <v>0.0</v>
      </c>
      <c r="J33" s="104">
        <v>0.0</v>
      </c>
      <c r="K33" s="110" t="s">
        <v>304</v>
      </c>
      <c r="L33" s="110" t="s">
        <v>305</v>
      </c>
    </row>
    <row r="34">
      <c r="A34" s="110" t="s">
        <v>303</v>
      </c>
      <c r="B34" s="104">
        <v>0.0</v>
      </c>
      <c r="C34" s="110" t="s">
        <v>209</v>
      </c>
      <c r="D34" s="110" t="s">
        <v>217</v>
      </c>
      <c r="E34" s="104">
        <v>0.0</v>
      </c>
      <c r="F34" s="104">
        <v>115.0</v>
      </c>
      <c r="G34" s="110" t="s">
        <v>302</v>
      </c>
      <c r="H34" s="112">
        <v>45854.0</v>
      </c>
      <c r="I34" s="110" t="s">
        <v>301</v>
      </c>
      <c r="J34" s="104">
        <v>0.0</v>
      </c>
      <c r="K34" s="110" t="s">
        <v>306</v>
      </c>
      <c r="L34" s="110" t="s">
        <v>307</v>
      </c>
    </row>
    <row r="35">
      <c r="A35" s="110" t="s">
        <v>305</v>
      </c>
      <c r="B35" s="104">
        <v>0.0</v>
      </c>
      <c r="C35" s="110" t="s">
        <v>209</v>
      </c>
      <c r="D35" s="110" t="s">
        <v>217</v>
      </c>
      <c r="E35" s="104">
        <v>0.0</v>
      </c>
      <c r="F35" s="104">
        <v>0.0</v>
      </c>
      <c r="G35" s="104">
        <v>0.0</v>
      </c>
      <c r="H35" s="104" t="s">
        <v>232</v>
      </c>
      <c r="I35" s="104">
        <v>0.0</v>
      </c>
      <c r="J35" s="104">
        <v>0.0</v>
      </c>
      <c r="K35" s="110" t="s">
        <v>308</v>
      </c>
      <c r="L35" s="110" t="s">
        <v>309</v>
      </c>
    </row>
    <row r="36">
      <c r="A36" s="110" t="s">
        <v>307</v>
      </c>
      <c r="B36" s="104">
        <v>0.0</v>
      </c>
      <c r="C36" s="110" t="s">
        <v>310</v>
      </c>
      <c r="D36" s="110" t="s">
        <v>217</v>
      </c>
      <c r="E36" s="104">
        <v>0.0</v>
      </c>
      <c r="F36" s="104">
        <v>36.8</v>
      </c>
      <c r="G36" s="104">
        <v>0.0</v>
      </c>
      <c r="H36" s="112">
        <v>45707.0</v>
      </c>
      <c r="I36" s="104">
        <v>0.0</v>
      </c>
      <c r="J36" s="104">
        <v>0.0</v>
      </c>
      <c r="K36" s="110" t="s">
        <v>311</v>
      </c>
      <c r="L36" s="110" t="s">
        <v>312</v>
      </c>
    </row>
    <row r="37">
      <c r="A37" s="110" t="s">
        <v>307</v>
      </c>
      <c r="B37" s="104">
        <v>0.0</v>
      </c>
      <c r="C37" s="110" t="s">
        <v>209</v>
      </c>
      <c r="D37" s="110" t="s">
        <v>217</v>
      </c>
      <c r="E37" s="104">
        <v>0.0</v>
      </c>
      <c r="F37" s="104">
        <v>0.0</v>
      </c>
      <c r="G37" s="104">
        <v>0.0</v>
      </c>
      <c r="H37" s="104" t="s">
        <v>232</v>
      </c>
      <c r="I37" s="104">
        <v>0.0</v>
      </c>
      <c r="J37" s="104">
        <v>0.0</v>
      </c>
      <c r="K37" s="110" t="s">
        <v>313</v>
      </c>
      <c r="L37" s="110" t="s">
        <v>314</v>
      </c>
    </row>
    <row r="38">
      <c r="A38" s="110" t="s">
        <v>309</v>
      </c>
      <c r="B38" s="104">
        <v>0.0</v>
      </c>
      <c r="C38" s="110" t="s">
        <v>310</v>
      </c>
      <c r="D38" s="110" t="s">
        <v>217</v>
      </c>
      <c r="E38" s="104">
        <v>0.0</v>
      </c>
      <c r="F38" s="104">
        <v>38.0</v>
      </c>
      <c r="G38" s="104">
        <v>0.0</v>
      </c>
      <c r="H38" s="112">
        <v>45707.0</v>
      </c>
      <c r="I38" s="104">
        <v>0.0</v>
      </c>
      <c r="J38" s="104">
        <v>0.0</v>
      </c>
      <c r="K38" s="110" t="s">
        <v>315</v>
      </c>
      <c r="L38" s="110" t="s">
        <v>316</v>
      </c>
    </row>
    <row r="39">
      <c r="A39" s="110" t="s">
        <v>312</v>
      </c>
      <c r="B39" s="104">
        <v>0.0</v>
      </c>
      <c r="C39" s="110" t="s">
        <v>317</v>
      </c>
      <c r="D39" s="110" t="s">
        <v>217</v>
      </c>
      <c r="E39" s="104">
        <v>0.0</v>
      </c>
      <c r="F39" s="104">
        <v>55.0</v>
      </c>
      <c r="G39" s="104">
        <v>0.0</v>
      </c>
      <c r="H39" s="112">
        <v>45874.0</v>
      </c>
      <c r="I39" s="104">
        <v>0.0</v>
      </c>
      <c r="J39" s="104">
        <v>0.0</v>
      </c>
      <c r="K39" s="110" t="s">
        <v>318</v>
      </c>
      <c r="L39" s="110" t="s">
        <v>319</v>
      </c>
    </row>
    <row r="40">
      <c r="A40" s="110" t="s">
        <v>314</v>
      </c>
      <c r="B40" s="104">
        <v>0.0</v>
      </c>
      <c r="C40" s="110" t="s">
        <v>317</v>
      </c>
      <c r="D40" s="110" t="s">
        <v>217</v>
      </c>
      <c r="E40" s="104">
        <v>0.0</v>
      </c>
      <c r="F40" s="104">
        <v>105.0</v>
      </c>
      <c r="G40" s="104">
        <v>0.0</v>
      </c>
      <c r="H40" s="112">
        <v>45874.0</v>
      </c>
      <c r="I40" s="104">
        <v>0.0</v>
      </c>
      <c r="J40" s="104">
        <v>0.0</v>
      </c>
      <c r="K40" s="110" t="s">
        <v>320</v>
      </c>
      <c r="L40" s="110" t="s">
        <v>321</v>
      </c>
    </row>
    <row r="41">
      <c r="A41" s="110" t="s">
        <v>316</v>
      </c>
      <c r="B41" s="104">
        <v>0.0</v>
      </c>
      <c r="C41" s="110" t="s">
        <v>317</v>
      </c>
      <c r="D41" s="110" t="s">
        <v>322</v>
      </c>
      <c r="E41" s="104">
        <v>0.0</v>
      </c>
      <c r="F41" s="104">
        <v>50.0</v>
      </c>
      <c r="G41" s="104">
        <v>0.0</v>
      </c>
      <c r="H41" s="112">
        <v>45874.0</v>
      </c>
      <c r="I41" s="104">
        <v>0.0</v>
      </c>
      <c r="J41" s="104">
        <v>0.0</v>
      </c>
      <c r="K41" s="110" t="s">
        <v>323</v>
      </c>
      <c r="L41" s="110" t="s">
        <v>324</v>
      </c>
    </row>
    <row r="42">
      <c r="A42" s="110" t="s">
        <v>319</v>
      </c>
      <c r="B42" s="110" t="s">
        <v>319</v>
      </c>
      <c r="C42" s="110" t="s">
        <v>325</v>
      </c>
      <c r="D42" s="110" t="s">
        <v>210</v>
      </c>
      <c r="E42" s="104">
        <v>0.0</v>
      </c>
      <c r="F42" s="104">
        <v>0.0</v>
      </c>
      <c r="G42" s="104">
        <v>0.0</v>
      </c>
      <c r="H42" s="104" t="s">
        <v>232</v>
      </c>
      <c r="I42" s="104">
        <v>0.0</v>
      </c>
      <c r="J42" s="104">
        <v>0.0</v>
      </c>
      <c r="K42" s="110" t="s">
        <v>326</v>
      </c>
      <c r="L42" s="110" t="s">
        <v>327</v>
      </c>
    </row>
    <row r="43">
      <c r="A43" s="110" t="s">
        <v>321</v>
      </c>
      <c r="B43" s="104">
        <v>0.0</v>
      </c>
      <c r="C43" s="110" t="s">
        <v>221</v>
      </c>
      <c r="D43" s="110" t="s">
        <v>226</v>
      </c>
      <c r="E43" s="104">
        <v>0.0</v>
      </c>
      <c r="F43" s="104">
        <v>2.91</v>
      </c>
      <c r="G43" s="110" t="s">
        <v>328</v>
      </c>
      <c r="H43" s="112">
        <v>45854.0</v>
      </c>
      <c r="I43" s="104">
        <v>0.0</v>
      </c>
      <c r="J43" s="104">
        <v>0.0</v>
      </c>
      <c r="K43" s="110" t="s">
        <v>329</v>
      </c>
      <c r="L43" s="110" t="s">
        <v>330</v>
      </c>
    </row>
    <row r="44">
      <c r="A44" s="110" t="s">
        <v>324</v>
      </c>
      <c r="B44" s="104">
        <v>0.0</v>
      </c>
      <c r="C44" s="110" t="s">
        <v>331</v>
      </c>
      <c r="D44" s="110" t="s">
        <v>217</v>
      </c>
      <c r="E44" s="104">
        <v>0.0</v>
      </c>
      <c r="F44" s="104">
        <v>265.0</v>
      </c>
      <c r="G44" s="110" t="s">
        <v>218</v>
      </c>
      <c r="H44" s="112">
        <v>45723.0</v>
      </c>
      <c r="I44" s="104">
        <v>0.0</v>
      </c>
      <c r="J44" s="104">
        <v>0.0</v>
      </c>
      <c r="K44" s="110" t="s">
        <v>332</v>
      </c>
      <c r="L44" s="110" t="s">
        <v>333</v>
      </c>
    </row>
    <row r="45">
      <c r="A45" s="110" t="s">
        <v>324</v>
      </c>
      <c r="B45" s="104">
        <v>0.0</v>
      </c>
      <c r="C45" s="110" t="s">
        <v>331</v>
      </c>
      <c r="D45" s="110" t="s">
        <v>217</v>
      </c>
      <c r="E45" s="104">
        <v>0.0</v>
      </c>
      <c r="F45" s="104">
        <v>261.0</v>
      </c>
      <c r="G45" s="110" t="s">
        <v>334</v>
      </c>
      <c r="H45" s="112">
        <v>45723.0</v>
      </c>
      <c r="I45" s="104">
        <v>0.0</v>
      </c>
      <c r="J45" s="104">
        <v>0.0</v>
      </c>
      <c r="K45" s="110" t="s">
        <v>332</v>
      </c>
      <c r="L45" s="110" t="s">
        <v>335</v>
      </c>
    </row>
    <row r="46">
      <c r="A46" s="110" t="s">
        <v>327</v>
      </c>
      <c r="B46" s="104">
        <v>0.0</v>
      </c>
      <c r="C46" s="110" t="s">
        <v>317</v>
      </c>
      <c r="D46" s="110" t="s">
        <v>210</v>
      </c>
      <c r="E46" s="104">
        <v>0.0</v>
      </c>
      <c r="F46" s="104">
        <v>420.0</v>
      </c>
      <c r="G46" s="104">
        <v>0.0</v>
      </c>
      <c r="H46" s="112">
        <v>45874.0</v>
      </c>
      <c r="I46" s="104">
        <v>0.0</v>
      </c>
      <c r="J46" s="104">
        <v>0.0</v>
      </c>
      <c r="K46" s="110" t="s">
        <v>336</v>
      </c>
      <c r="L46" s="110" t="s">
        <v>335</v>
      </c>
    </row>
    <row r="47">
      <c r="A47" s="110" t="s">
        <v>330</v>
      </c>
      <c r="B47" s="104">
        <v>0.0</v>
      </c>
      <c r="C47" s="110" t="s">
        <v>337</v>
      </c>
      <c r="D47" s="110" t="s">
        <v>217</v>
      </c>
      <c r="E47" s="104">
        <v>0.0</v>
      </c>
      <c r="F47" s="104">
        <v>400.0</v>
      </c>
      <c r="G47" s="110" t="s">
        <v>338</v>
      </c>
      <c r="H47" s="112">
        <v>45693.0</v>
      </c>
      <c r="I47" s="104">
        <v>0.0</v>
      </c>
      <c r="J47" s="104">
        <v>0.0</v>
      </c>
      <c r="K47" s="110" t="s">
        <v>339</v>
      </c>
      <c r="L47" s="110" t="s">
        <v>340</v>
      </c>
    </row>
    <row r="48">
      <c r="A48" s="110" t="s">
        <v>330</v>
      </c>
      <c r="B48" s="104">
        <v>0.0</v>
      </c>
      <c r="C48" s="110" t="s">
        <v>341</v>
      </c>
      <c r="D48" s="110" t="s">
        <v>210</v>
      </c>
      <c r="E48" s="104">
        <v>0.0</v>
      </c>
      <c r="F48" s="104">
        <v>274.0</v>
      </c>
      <c r="G48" s="110" t="s">
        <v>268</v>
      </c>
      <c r="H48" s="112">
        <v>45919.0</v>
      </c>
      <c r="I48" s="104">
        <v>0.0</v>
      </c>
      <c r="J48" s="104">
        <v>0.0</v>
      </c>
      <c r="K48" s="110" t="s">
        <v>342</v>
      </c>
      <c r="L48" s="110" t="s">
        <v>343</v>
      </c>
    </row>
    <row r="49">
      <c r="A49" s="110" t="s">
        <v>333</v>
      </c>
      <c r="B49" s="104">
        <v>0.0</v>
      </c>
      <c r="C49" s="110" t="s">
        <v>344</v>
      </c>
      <c r="D49" s="110" t="s">
        <v>210</v>
      </c>
      <c r="E49" s="104">
        <v>0.0</v>
      </c>
      <c r="F49" s="104">
        <v>6.5</v>
      </c>
      <c r="G49" s="110" t="s">
        <v>345</v>
      </c>
      <c r="H49" s="112">
        <v>45854.0</v>
      </c>
      <c r="I49" s="110" t="s">
        <v>333</v>
      </c>
      <c r="J49" s="104">
        <v>0.0</v>
      </c>
      <c r="K49" s="110" t="s">
        <v>346</v>
      </c>
      <c r="L49" s="110" t="s">
        <v>347</v>
      </c>
    </row>
    <row r="50">
      <c r="A50" s="110" t="s">
        <v>335</v>
      </c>
      <c r="B50" s="104">
        <v>0.0</v>
      </c>
      <c r="C50" s="110" t="s">
        <v>348</v>
      </c>
      <c r="D50" s="110" t="s">
        <v>210</v>
      </c>
      <c r="E50" s="104">
        <v>0.0</v>
      </c>
      <c r="F50" s="104">
        <v>23.82</v>
      </c>
      <c r="G50" s="110" t="s">
        <v>349</v>
      </c>
      <c r="H50" s="112">
        <v>45855.0</v>
      </c>
      <c r="I50" s="110" t="s">
        <v>335</v>
      </c>
      <c r="J50" s="104">
        <v>0.0</v>
      </c>
      <c r="K50" s="110" t="s">
        <v>350</v>
      </c>
      <c r="L50" s="110" t="s">
        <v>351</v>
      </c>
    </row>
    <row r="51">
      <c r="A51" s="110" t="s">
        <v>335</v>
      </c>
      <c r="B51" s="104">
        <v>0.0</v>
      </c>
      <c r="C51" s="110" t="s">
        <v>331</v>
      </c>
      <c r="D51" s="110" t="s">
        <v>210</v>
      </c>
      <c r="E51" s="104">
        <v>0.0</v>
      </c>
      <c r="F51" s="104">
        <v>14.0</v>
      </c>
      <c r="G51" s="110" t="s">
        <v>238</v>
      </c>
      <c r="H51" s="112">
        <v>45856.0</v>
      </c>
      <c r="I51" s="110" t="s">
        <v>335</v>
      </c>
      <c r="J51" s="104">
        <v>0.0</v>
      </c>
      <c r="K51" s="110" t="s">
        <v>352</v>
      </c>
      <c r="L51" s="110" t="s">
        <v>353</v>
      </c>
    </row>
    <row r="52">
      <c r="A52" s="110" t="s">
        <v>340</v>
      </c>
      <c r="B52" s="104">
        <v>0.0</v>
      </c>
      <c r="C52" s="110" t="s">
        <v>354</v>
      </c>
      <c r="D52" s="110" t="s">
        <v>210</v>
      </c>
      <c r="E52" s="104">
        <v>0.0</v>
      </c>
      <c r="F52" s="104">
        <v>26.5</v>
      </c>
      <c r="G52" s="110" t="s">
        <v>238</v>
      </c>
      <c r="H52" s="112">
        <v>45833.0</v>
      </c>
      <c r="I52" s="110" t="s">
        <v>340</v>
      </c>
      <c r="J52" s="104">
        <v>0.0</v>
      </c>
      <c r="K52" s="110" t="s">
        <v>355</v>
      </c>
      <c r="L52" s="110" t="s">
        <v>356</v>
      </c>
    </row>
    <row r="53">
      <c r="A53" s="110" t="s">
        <v>343</v>
      </c>
      <c r="B53" s="104">
        <v>0.0</v>
      </c>
      <c r="C53" s="110" t="s">
        <v>357</v>
      </c>
      <c r="D53" s="110" t="s">
        <v>217</v>
      </c>
      <c r="E53" s="104">
        <v>0.0</v>
      </c>
      <c r="F53" s="104">
        <v>25.0</v>
      </c>
      <c r="G53" s="110" t="s">
        <v>218</v>
      </c>
      <c r="H53" s="112">
        <v>45812.0</v>
      </c>
      <c r="I53" s="110" t="s">
        <v>358</v>
      </c>
      <c r="J53" s="104">
        <v>0.0</v>
      </c>
      <c r="K53" s="110" t="s">
        <v>359</v>
      </c>
      <c r="L53" s="110" t="s">
        <v>360</v>
      </c>
    </row>
    <row r="54">
      <c r="A54" s="110" t="s">
        <v>347</v>
      </c>
      <c r="B54" s="104">
        <v>0.0</v>
      </c>
      <c r="C54" s="110" t="s">
        <v>209</v>
      </c>
      <c r="D54" s="110" t="s">
        <v>217</v>
      </c>
      <c r="E54" s="104">
        <v>0.0</v>
      </c>
      <c r="F54" s="104">
        <v>0.0</v>
      </c>
      <c r="G54" s="104">
        <v>0.0</v>
      </c>
      <c r="H54" s="104" t="s">
        <v>232</v>
      </c>
      <c r="I54" s="104">
        <v>0.0</v>
      </c>
      <c r="J54" s="104">
        <v>0.0</v>
      </c>
      <c r="K54" s="110" t="s">
        <v>361</v>
      </c>
      <c r="L54" s="110" t="s">
        <v>362</v>
      </c>
    </row>
    <row r="55">
      <c r="A55" s="110" t="s">
        <v>351</v>
      </c>
      <c r="B55" s="104">
        <v>0.0</v>
      </c>
      <c r="C55" s="110" t="s">
        <v>209</v>
      </c>
      <c r="D55" s="110" t="s">
        <v>217</v>
      </c>
      <c r="E55" s="104">
        <v>0.0</v>
      </c>
      <c r="F55" s="104">
        <v>0.0</v>
      </c>
      <c r="G55" s="104">
        <v>0.0</v>
      </c>
      <c r="H55" s="104" t="s">
        <v>232</v>
      </c>
      <c r="I55" s="104">
        <v>0.0</v>
      </c>
      <c r="J55" s="104">
        <v>0.0</v>
      </c>
      <c r="K55" s="110" t="s">
        <v>363</v>
      </c>
      <c r="L55" s="110" t="s">
        <v>364</v>
      </c>
    </row>
    <row r="56">
      <c r="A56" s="110" t="s">
        <v>353</v>
      </c>
      <c r="B56" s="104">
        <v>0.0</v>
      </c>
      <c r="C56" s="110" t="s">
        <v>365</v>
      </c>
      <c r="D56" s="110" t="s">
        <v>217</v>
      </c>
      <c r="E56" s="104">
        <v>0.0</v>
      </c>
      <c r="F56" s="104">
        <v>0.0</v>
      </c>
      <c r="G56" s="104">
        <v>0.0</v>
      </c>
      <c r="H56" s="104" t="s">
        <v>232</v>
      </c>
      <c r="I56" s="104">
        <v>0.0</v>
      </c>
      <c r="J56" s="104">
        <v>0.0</v>
      </c>
      <c r="K56" s="110" t="s">
        <v>366</v>
      </c>
      <c r="L56" s="110" t="s">
        <v>367</v>
      </c>
    </row>
    <row r="57">
      <c r="A57" s="110" t="s">
        <v>356</v>
      </c>
      <c r="B57" s="104">
        <v>0.0</v>
      </c>
      <c r="C57" s="110" t="s">
        <v>337</v>
      </c>
      <c r="D57" s="110" t="s">
        <v>217</v>
      </c>
      <c r="E57" s="104">
        <v>0.0</v>
      </c>
      <c r="F57" s="104">
        <v>15.0</v>
      </c>
      <c r="G57" s="110" t="s">
        <v>238</v>
      </c>
      <c r="H57" s="112">
        <v>45603.0</v>
      </c>
      <c r="I57" s="104">
        <v>0.0</v>
      </c>
      <c r="J57" s="104">
        <v>0.0</v>
      </c>
      <c r="K57" s="110" t="s">
        <v>368</v>
      </c>
      <c r="L57" s="110" t="s">
        <v>369</v>
      </c>
    </row>
    <row r="58">
      <c r="A58" s="110" t="s">
        <v>356</v>
      </c>
      <c r="B58" s="104">
        <v>0.0</v>
      </c>
      <c r="C58" s="110" t="s">
        <v>261</v>
      </c>
      <c r="D58" s="110" t="s">
        <v>217</v>
      </c>
      <c r="E58" s="104">
        <v>0.0</v>
      </c>
      <c r="F58" s="104">
        <v>9.25</v>
      </c>
      <c r="G58" s="110" t="s">
        <v>238</v>
      </c>
      <c r="H58" s="112">
        <v>45982.0</v>
      </c>
      <c r="I58" s="110" t="s">
        <v>356</v>
      </c>
      <c r="J58" s="104">
        <v>0.0</v>
      </c>
      <c r="K58" s="110" t="s">
        <v>370</v>
      </c>
      <c r="L58" s="110" t="s">
        <v>371</v>
      </c>
    </row>
    <row r="59">
      <c r="A59" s="110" t="s">
        <v>356</v>
      </c>
      <c r="B59" s="104">
        <v>0.0</v>
      </c>
      <c r="C59" s="110" t="s">
        <v>261</v>
      </c>
      <c r="D59" s="110" t="s">
        <v>217</v>
      </c>
      <c r="E59" s="104">
        <v>0.0</v>
      </c>
      <c r="F59" s="104">
        <v>7.6</v>
      </c>
      <c r="G59" s="110" t="s">
        <v>334</v>
      </c>
      <c r="H59" s="112">
        <v>45982.0</v>
      </c>
      <c r="I59" s="110" t="s">
        <v>356</v>
      </c>
      <c r="J59" s="104">
        <v>0.0</v>
      </c>
      <c r="K59" s="110" t="s">
        <v>370</v>
      </c>
      <c r="L59" s="110" t="s">
        <v>372</v>
      </c>
    </row>
    <row r="60">
      <c r="A60" s="110" t="s">
        <v>356</v>
      </c>
      <c r="B60" s="104">
        <v>0.0</v>
      </c>
      <c r="C60" s="110" t="s">
        <v>261</v>
      </c>
      <c r="D60" s="110" t="s">
        <v>217</v>
      </c>
      <c r="E60" s="104">
        <v>0.0</v>
      </c>
      <c r="F60" s="104">
        <v>5.9</v>
      </c>
      <c r="G60" s="110" t="s">
        <v>373</v>
      </c>
      <c r="H60" s="112">
        <v>45982.0</v>
      </c>
      <c r="I60" s="110" t="s">
        <v>356</v>
      </c>
      <c r="J60" s="104">
        <v>0.0</v>
      </c>
      <c r="K60" s="110" t="s">
        <v>370</v>
      </c>
      <c r="L60" s="110" t="s">
        <v>374</v>
      </c>
    </row>
    <row r="61">
      <c r="A61" s="110" t="s">
        <v>360</v>
      </c>
      <c r="B61" s="104">
        <v>0.0</v>
      </c>
      <c r="C61" s="110" t="s">
        <v>375</v>
      </c>
      <c r="D61" s="110" t="s">
        <v>210</v>
      </c>
      <c r="E61" s="104">
        <v>0.0</v>
      </c>
      <c r="F61" s="104">
        <v>78.0</v>
      </c>
      <c r="G61" s="110" t="s">
        <v>218</v>
      </c>
      <c r="H61" s="112">
        <v>45887.0</v>
      </c>
      <c r="I61" s="110" t="s">
        <v>360</v>
      </c>
      <c r="J61" s="104">
        <v>0.0</v>
      </c>
      <c r="K61" s="110" t="s">
        <v>376</v>
      </c>
      <c r="L61" s="110" t="s">
        <v>377</v>
      </c>
    </row>
    <row r="62">
      <c r="A62" s="110" t="s">
        <v>360</v>
      </c>
      <c r="B62" s="104">
        <v>0.0</v>
      </c>
      <c r="C62" s="110" t="s">
        <v>375</v>
      </c>
      <c r="D62" s="110" t="s">
        <v>210</v>
      </c>
      <c r="E62" s="104">
        <v>0.0</v>
      </c>
      <c r="F62" s="104">
        <v>76.0</v>
      </c>
      <c r="G62" s="110" t="s">
        <v>378</v>
      </c>
      <c r="H62" s="112">
        <v>45887.0</v>
      </c>
      <c r="I62" s="110" t="s">
        <v>360</v>
      </c>
      <c r="J62" s="104">
        <v>0.0</v>
      </c>
      <c r="K62" s="110" t="s">
        <v>376</v>
      </c>
      <c r="L62" s="110" t="s">
        <v>379</v>
      </c>
    </row>
    <row r="63">
      <c r="A63" s="110" t="s">
        <v>360</v>
      </c>
      <c r="B63" s="104">
        <v>0.0</v>
      </c>
      <c r="C63" s="110" t="s">
        <v>375</v>
      </c>
      <c r="D63" s="110" t="s">
        <v>210</v>
      </c>
      <c r="E63" s="104">
        <v>0.0</v>
      </c>
      <c r="F63" s="104">
        <v>74.0</v>
      </c>
      <c r="G63" s="110" t="s">
        <v>380</v>
      </c>
      <c r="H63" s="112">
        <v>45887.0</v>
      </c>
      <c r="I63" s="110" t="s">
        <v>360</v>
      </c>
      <c r="J63" s="104">
        <v>0.0</v>
      </c>
      <c r="K63" s="110" t="s">
        <v>376</v>
      </c>
      <c r="L63" s="110" t="s">
        <v>381</v>
      </c>
    </row>
    <row r="64">
      <c r="A64" s="110" t="s">
        <v>360</v>
      </c>
      <c r="B64" s="104">
        <v>0.0</v>
      </c>
      <c r="C64" s="110" t="s">
        <v>375</v>
      </c>
      <c r="D64" s="110" t="s">
        <v>210</v>
      </c>
      <c r="E64" s="104">
        <v>0.0</v>
      </c>
      <c r="F64" s="104">
        <v>72.0</v>
      </c>
      <c r="G64" s="110" t="s">
        <v>382</v>
      </c>
      <c r="H64" s="112">
        <v>45887.0</v>
      </c>
      <c r="I64" s="110" t="s">
        <v>360</v>
      </c>
      <c r="J64" s="104">
        <v>0.0</v>
      </c>
      <c r="K64" s="110" t="s">
        <v>376</v>
      </c>
      <c r="L64" s="110" t="s">
        <v>383</v>
      </c>
    </row>
    <row r="65">
      <c r="A65" s="110" t="s">
        <v>360</v>
      </c>
      <c r="B65" s="104">
        <v>0.0</v>
      </c>
      <c r="C65" s="110" t="s">
        <v>375</v>
      </c>
      <c r="D65" s="110" t="s">
        <v>210</v>
      </c>
      <c r="E65" s="104">
        <v>0.0</v>
      </c>
      <c r="F65" s="104">
        <v>70.0</v>
      </c>
      <c r="G65" s="110" t="s">
        <v>384</v>
      </c>
      <c r="H65" s="112">
        <v>45887.0</v>
      </c>
      <c r="I65" s="110" t="s">
        <v>360</v>
      </c>
      <c r="J65" s="104">
        <v>0.0</v>
      </c>
      <c r="K65" s="110" t="s">
        <v>376</v>
      </c>
      <c r="L65" s="110" t="s">
        <v>385</v>
      </c>
    </row>
    <row r="66">
      <c r="A66" s="110" t="s">
        <v>362</v>
      </c>
      <c r="B66" s="104">
        <v>0.0</v>
      </c>
      <c r="C66" s="110" t="s">
        <v>386</v>
      </c>
      <c r="D66" s="110" t="s">
        <v>210</v>
      </c>
      <c r="E66" s="104">
        <v>0.0</v>
      </c>
      <c r="F66" s="104">
        <v>58.0</v>
      </c>
      <c r="G66" s="110" t="s">
        <v>238</v>
      </c>
      <c r="H66" s="112">
        <v>45663.0</v>
      </c>
      <c r="I66" s="104">
        <v>0.0</v>
      </c>
      <c r="J66" s="104">
        <v>0.0</v>
      </c>
      <c r="K66" s="110" t="s">
        <v>387</v>
      </c>
      <c r="L66" s="110" t="s">
        <v>388</v>
      </c>
    </row>
    <row r="67">
      <c r="A67" s="110" t="s">
        <v>364</v>
      </c>
      <c r="B67" s="104">
        <v>0.0</v>
      </c>
      <c r="C67" s="110" t="s">
        <v>331</v>
      </c>
      <c r="D67" s="110" t="s">
        <v>210</v>
      </c>
      <c r="E67" s="104">
        <v>0.0</v>
      </c>
      <c r="F67" s="104">
        <v>50.0</v>
      </c>
      <c r="G67" s="110" t="s">
        <v>211</v>
      </c>
      <c r="H67" s="112">
        <v>45853.0</v>
      </c>
      <c r="I67" s="110" t="s">
        <v>389</v>
      </c>
      <c r="J67" s="104">
        <v>0.0</v>
      </c>
      <c r="K67" s="110" t="s">
        <v>390</v>
      </c>
      <c r="L67" s="110" t="s">
        <v>391</v>
      </c>
    </row>
    <row r="68">
      <c r="A68" s="110" t="s">
        <v>367</v>
      </c>
      <c r="B68" s="104">
        <v>0.0</v>
      </c>
      <c r="C68" s="110" t="s">
        <v>392</v>
      </c>
      <c r="D68" s="110" t="s">
        <v>210</v>
      </c>
      <c r="E68" s="104">
        <v>0.0</v>
      </c>
      <c r="F68" s="104">
        <v>560.0</v>
      </c>
      <c r="G68" s="110" t="s">
        <v>211</v>
      </c>
      <c r="H68" s="112">
        <v>45889.0</v>
      </c>
      <c r="I68" s="110" t="s">
        <v>367</v>
      </c>
      <c r="J68" s="104">
        <v>0.0</v>
      </c>
      <c r="K68" s="110" t="s">
        <v>393</v>
      </c>
      <c r="L68" s="110" t="s">
        <v>394</v>
      </c>
    </row>
    <row r="69">
      <c r="A69" s="110" t="s">
        <v>369</v>
      </c>
      <c r="B69" s="104">
        <v>0.0</v>
      </c>
      <c r="C69" s="110" t="s">
        <v>209</v>
      </c>
      <c r="D69" s="110" t="s">
        <v>217</v>
      </c>
      <c r="E69" s="104">
        <v>0.0</v>
      </c>
      <c r="F69" s="104">
        <v>0.0</v>
      </c>
      <c r="G69" s="104">
        <v>0.0</v>
      </c>
      <c r="H69" s="104" t="s">
        <v>232</v>
      </c>
      <c r="I69" s="104">
        <v>0.0</v>
      </c>
      <c r="J69" s="104">
        <v>0.0</v>
      </c>
      <c r="K69" s="110" t="s">
        <v>395</v>
      </c>
      <c r="L69" s="110" t="s">
        <v>396</v>
      </c>
    </row>
    <row r="70">
      <c r="A70" s="110" t="s">
        <v>371</v>
      </c>
      <c r="B70" s="104">
        <v>0.0</v>
      </c>
      <c r="C70" s="110" t="s">
        <v>209</v>
      </c>
      <c r="D70" s="110" t="s">
        <v>217</v>
      </c>
      <c r="E70" s="104">
        <v>0.0</v>
      </c>
      <c r="F70" s="104">
        <v>0.0</v>
      </c>
      <c r="G70" s="104">
        <v>0.0</v>
      </c>
      <c r="H70" s="104" t="s">
        <v>232</v>
      </c>
      <c r="I70" s="104">
        <v>0.0</v>
      </c>
      <c r="J70" s="104">
        <v>0.0</v>
      </c>
      <c r="K70" s="110" t="s">
        <v>397</v>
      </c>
      <c r="L70" s="110" t="s">
        <v>398</v>
      </c>
    </row>
    <row r="71">
      <c r="A71" s="110" t="s">
        <v>372</v>
      </c>
      <c r="B71" s="104">
        <v>0.0</v>
      </c>
      <c r="C71" s="110" t="s">
        <v>337</v>
      </c>
      <c r="D71" s="110" t="s">
        <v>210</v>
      </c>
      <c r="E71" s="104">
        <v>0.0</v>
      </c>
      <c r="F71" s="104">
        <v>120.0</v>
      </c>
      <c r="G71" s="110" t="s">
        <v>262</v>
      </c>
      <c r="H71" s="112">
        <v>45894.0</v>
      </c>
      <c r="I71" s="104">
        <v>0.0</v>
      </c>
      <c r="J71" s="104">
        <v>0.0</v>
      </c>
      <c r="K71" s="110" t="s">
        <v>399</v>
      </c>
      <c r="L71" s="110" t="s">
        <v>400</v>
      </c>
    </row>
    <row r="72">
      <c r="A72" s="110" t="s">
        <v>374</v>
      </c>
      <c r="B72" s="104">
        <v>0.0</v>
      </c>
      <c r="C72" s="110" t="s">
        <v>337</v>
      </c>
      <c r="D72" s="110" t="s">
        <v>210</v>
      </c>
      <c r="E72" s="104">
        <v>0.0</v>
      </c>
      <c r="F72" s="104">
        <v>16.0</v>
      </c>
      <c r="G72" s="110" t="s">
        <v>238</v>
      </c>
      <c r="H72" s="112">
        <v>45575.0</v>
      </c>
      <c r="I72" s="104">
        <v>0.0</v>
      </c>
      <c r="J72" s="104">
        <v>0.0</v>
      </c>
      <c r="K72" s="110" t="s">
        <v>401</v>
      </c>
      <c r="L72" s="110" t="s">
        <v>402</v>
      </c>
    </row>
    <row r="73">
      <c r="A73" s="110" t="s">
        <v>374</v>
      </c>
      <c r="B73" s="104">
        <v>0.0</v>
      </c>
      <c r="C73" s="110" t="s">
        <v>386</v>
      </c>
      <c r="D73" s="110" t="s">
        <v>210</v>
      </c>
      <c r="E73" s="104">
        <v>0.0</v>
      </c>
      <c r="F73" s="104">
        <v>8.0</v>
      </c>
      <c r="G73" s="110" t="s">
        <v>334</v>
      </c>
      <c r="H73" s="112">
        <v>45575.0</v>
      </c>
      <c r="I73" s="104">
        <v>0.0</v>
      </c>
      <c r="J73" s="104">
        <v>0.0</v>
      </c>
      <c r="K73" s="110" t="s">
        <v>403</v>
      </c>
      <c r="L73" s="110" t="s">
        <v>404</v>
      </c>
    </row>
    <row r="74">
      <c r="A74" s="110" t="s">
        <v>377</v>
      </c>
      <c r="B74" s="110" t="s">
        <v>377</v>
      </c>
      <c r="C74" s="110" t="s">
        <v>405</v>
      </c>
      <c r="D74" s="110" t="s">
        <v>210</v>
      </c>
      <c r="E74" s="104">
        <v>0.0</v>
      </c>
      <c r="F74" s="104">
        <v>335.0</v>
      </c>
      <c r="G74" s="110" t="s">
        <v>211</v>
      </c>
      <c r="H74" s="112">
        <v>44887.0</v>
      </c>
      <c r="I74" s="104">
        <v>0.0</v>
      </c>
      <c r="J74" s="104">
        <v>0.0</v>
      </c>
      <c r="K74" s="110" t="s">
        <v>406</v>
      </c>
      <c r="L74" s="110" t="s">
        <v>407</v>
      </c>
    </row>
    <row r="75">
      <c r="A75" s="110" t="s">
        <v>379</v>
      </c>
      <c r="B75" s="104">
        <v>0.0</v>
      </c>
      <c r="C75" s="110" t="s">
        <v>408</v>
      </c>
      <c r="D75" s="110" t="s">
        <v>210</v>
      </c>
      <c r="E75" s="104">
        <v>0.0</v>
      </c>
      <c r="F75" s="104">
        <v>345.0</v>
      </c>
      <c r="G75" s="110" t="s">
        <v>409</v>
      </c>
      <c r="H75" s="112">
        <v>45987.0</v>
      </c>
      <c r="I75" s="110" t="s">
        <v>379</v>
      </c>
      <c r="J75" s="104">
        <v>0.0</v>
      </c>
      <c r="K75" s="110" t="s">
        <v>410</v>
      </c>
      <c r="L75" s="110" t="s">
        <v>411</v>
      </c>
    </row>
    <row r="76">
      <c r="A76" s="110" t="s">
        <v>379</v>
      </c>
      <c r="B76" s="104">
        <v>0.0</v>
      </c>
      <c r="C76" s="110" t="s">
        <v>408</v>
      </c>
      <c r="D76" s="110" t="s">
        <v>210</v>
      </c>
      <c r="E76" s="104">
        <v>0.0</v>
      </c>
      <c r="F76" s="104">
        <v>320.0</v>
      </c>
      <c r="G76" s="110" t="s">
        <v>378</v>
      </c>
      <c r="H76" s="112">
        <v>45987.0</v>
      </c>
      <c r="I76" s="110" t="s">
        <v>379</v>
      </c>
      <c r="J76" s="104">
        <v>0.0</v>
      </c>
      <c r="K76" s="110" t="s">
        <v>410</v>
      </c>
      <c r="L76" s="110" t="s">
        <v>412</v>
      </c>
    </row>
    <row r="77">
      <c r="A77" s="110" t="s">
        <v>379</v>
      </c>
      <c r="B77" s="104">
        <v>0.0</v>
      </c>
      <c r="C77" s="110" t="s">
        <v>408</v>
      </c>
      <c r="D77" s="110" t="s">
        <v>210</v>
      </c>
      <c r="E77" s="104">
        <v>0.0</v>
      </c>
      <c r="F77" s="104">
        <v>295.0</v>
      </c>
      <c r="G77" s="110" t="s">
        <v>413</v>
      </c>
      <c r="H77" s="112">
        <v>45987.0</v>
      </c>
      <c r="I77" s="110" t="s">
        <v>379</v>
      </c>
      <c r="J77" s="104">
        <v>0.0</v>
      </c>
      <c r="K77" s="110" t="s">
        <v>410</v>
      </c>
      <c r="L77" s="110" t="s">
        <v>414</v>
      </c>
    </row>
    <row r="78">
      <c r="A78" s="110" t="s">
        <v>381</v>
      </c>
      <c r="B78" s="104">
        <v>0.0</v>
      </c>
      <c r="C78" s="110" t="s">
        <v>216</v>
      </c>
      <c r="D78" s="110" t="s">
        <v>217</v>
      </c>
      <c r="E78" s="104">
        <v>0.0</v>
      </c>
      <c r="F78" s="104">
        <v>600.0</v>
      </c>
      <c r="G78" s="110" t="s">
        <v>211</v>
      </c>
      <c r="H78" s="112">
        <v>45923.0</v>
      </c>
      <c r="I78" s="110" t="s">
        <v>381</v>
      </c>
      <c r="J78" s="104">
        <v>0.0</v>
      </c>
      <c r="K78" s="110" t="s">
        <v>415</v>
      </c>
      <c r="L78" s="110" t="s">
        <v>416</v>
      </c>
    </row>
    <row r="79">
      <c r="A79" s="110" t="s">
        <v>383</v>
      </c>
      <c r="B79" s="104">
        <v>0.0</v>
      </c>
      <c r="C79" s="110" t="s">
        <v>417</v>
      </c>
      <c r="D79" s="110" t="s">
        <v>201</v>
      </c>
      <c r="E79" s="104">
        <v>0.0</v>
      </c>
      <c r="F79" s="104">
        <v>12.68</v>
      </c>
      <c r="G79" s="104">
        <v>0.0</v>
      </c>
      <c r="H79" s="112">
        <v>45754.0</v>
      </c>
      <c r="I79" s="110" t="s">
        <v>418</v>
      </c>
      <c r="J79" s="104">
        <v>0.0</v>
      </c>
      <c r="K79" s="110" t="s">
        <v>419</v>
      </c>
      <c r="L79" s="110" t="s">
        <v>420</v>
      </c>
    </row>
    <row r="80">
      <c r="A80" s="110" t="s">
        <v>385</v>
      </c>
      <c r="B80" s="104">
        <v>0.0</v>
      </c>
      <c r="C80" s="110" t="s">
        <v>386</v>
      </c>
      <c r="D80" s="110" t="s">
        <v>210</v>
      </c>
      <c r="E80" s="104">
        <v>0.0</v>
      </c>
      <c r="F80" s="104">
        <v>38.5</v>
      </c>
      <c r="G80" s="110" t="s">
        <v>238</v>
      </c>
      <c r="H80" s="112">
        <v>45693.0</v>
      </c>
      <c r="I80" s="104">
        <v>0.0</v>
      </c>
      <c r="J80" s="104">
        <v>0.0</v>
      </c>
      <c r="K80" s="110" t="s">
        <v>421</v>
      </c>
      <c r="L80" s="110" t="s">
        <v>422</v>
      </c>
    </row>
    <row r="81">
      <c r="A81" s="110" t="s">
        <v>388</v>
      </c>
      <c r="B81" s="104">
        <v>0.0</v>
      </c>
      <c r="C81" s="110" t="s">
        <v>337</v>
      </c>
      <c r="D81" s="110" t="s">
        <v>210</v>
      </c>
      <c r="E81" s="104">
        <v>0.0</v>
      </c>
      <c r="F81" s="104">
        <v>29.0</v>
      </c>
      <c r="G81" s="110" t="s">
        <v>238</v>
      </c>
      <c r="H81" s="112">
        <v>45953.0</v>
      </c>
      <c r="I81" s="110" t="s">
        <v>423</v>
      </c>
      <c r="J81" s="104">
        <v>0.0</v>
      </c>
      <c r="K81" s="110" t="s">
        <v>424</v>
      </c>
      <c r="L81" s="110" t="s">
        <v>425</v>
      </c>
    </row>
    <row r="82">
      <c r="A82" s="110" t="s">
        <v>391</v>
      </c>
      <c r="B82" s="110" t="s">
        <v>426</v>
      </c>
      <c r="C82" s="110" t="s">
        <v>427</v>
      </c>
      <c r="D82" s="110" t="s">
        <v>322</v>
      </c>
      <c r="E82" s="104">
        <v>0.0</v>
      </c>
      <c r="F82" s="104">
        <v>3.86</v>
      </c>
      <c r="G82" s="110" t="s">
        <v>428</v>
      </c>
      <c r="H82" s="112">
        <v>45930.0</v>
      </c>
      <c r="I82" s="110" t="s">
        <v>391</v>
      </c>
      <c r="J82" s="104">
        <v>0.0</v>
      </c>
      <c r="K82" s="110" t="s">
        <v>429</v>
      </c>
      <c r="L82" s="110" t="s">
        <v>430</v>
      </c>
    </row>
    <row r="83">
      <c r="A83" s="110" t="s">
        <v>391</v>
      </c>
      <c r="B83" s="110" t="s">
        <v>426</v>
      </c>
      <c r="C83" s="110" t="s">
        <v>427</v>
      </c>
      <c r="D83" s="110" t="s">
        <v>322</v>
      </c>
      <c r="E83" s="104">
        <v>0.0</v>
      </c>
      <c r="F83" s="104">
        <v>4.41</v>
      </c>
      <c r="G83" s="110" t="s">
        <v>431</v>
      </c>
      <c r="H83" s="112">
        <v>45930.0</v>
      </c>
      <c r="I83" s="110" t="s">
        <v>391</v>
      </c>
      <c r="J83" s="104">
        <v>0.0</v>
      </c>
      <c r="K83" s="110" t="s">
        <v>429</v>
      </c>
      <c r="L83" s="110" t="s">
        <v>432</v>
      </c>
    </row>
    <row r="84">
      <c r="A84" s="110" t="s">
        <v>391</v>
      </c>
      <c r="B84" s="110" t="s">
        <v>426</v>
      </c>
      <c r="C84" s="110" t="s">
        <v>427</v>
      </c>
      <c r="D84" s="110" t="s">
        <v>322</v>
      </c>
      <c r="E84" s="104">
        <v>0.0</v>
      </c>
      <c r="F84" s="104">
        <v>5.51</v>
      </c>
      <c r="G84" s="110" t="s">
        <v>433</v>
      </c>
      <c r="H84" s="112">
        <v>45930.0</v>
      </c>
      <c r="I84" s="110" t="s">
        <v>391</v>
      </c>
      <c r="J84" s="104">
        <v>0.0</v>
      </c>
      <c r="K84" s="110" t="s">
        <v>429</v>
      </c>
      <c r="L84" s="110" t="s">
        <v>434</v>
      </c>
    </row>
    <row r="85">
      <c r="A85" s="110" t="s">
        <v>391</v>
      </c>
      <c r="B85" s="110" t="s">
        <v>426</v>
      </c>
      <c r="C85" s="110" t="s">
        <v>427</v>
      </c>
      <c r="D85" s="110" t="s">
        <v>322</v>
      </c>
      <c r="E85" s="104">
        <v>0.0</v>
      </c>
      <c r="F85" s="104">
        <v>6.61</v>
      </c>
      <c r="G85" s="110" t="s">
        <v>435</v>
      </c>
      <c r="H85" s="112">
        <v>45930.0</v>
      </c>
      <c r="I85" s="110" t="s">
        <v>391</v>
      </c>
      <c r="J85" s="104">
        <v>0.0</v>
      </c>
      <c r="K85" s="110" t="s">
        <v>429</v>
      </c>
      <c r="L85" s="110" t="s">
        <v>436</v>
      </c>
    </row>
    <row r="86">
      <c r="A86" s="110" t="s">
        <v>391</v>
      </c>
      <c r="B86" s="110" t="s">
        <v>426</v>
      </c>
      <c r="C86" s="110" t="s">
        <v>427</v>
      </c>
      <c r="D86" s="110" t="s">
        <v>322</v>
      </c>
      <c r="E86" s="104">
        <v>0.0</v>
      </c>
      <c r="F86" s="104">
        <v>8.82</v>
      </c>
      <c r="G86" s="110" t="s">
        <v>437</v>
      </c>
      <c r="H86" s="112">
        <v>45986.0</v>
      </c>
      <c r="I86" s="110" t="s">
        <v>391</v>
      </c>
      <c r="J86" s="104">
        <v>0.0</v>
      </c>
      <c r="K86" s="110" t="s">
        <v>429</v>
      </c>
      <c r="L86" s="110" t="s">
        <v>438</v>
      </c>
    </row>
    <row r="87">
      <c r="A87" s="110" t="s">
        <v>391</v>
      </c>
      <c r="B87" s="110" t="s">
        <v>426</v>
      </c>
      <c r="C87" s="110" t="s">
        <v>427</v>
      </c>
      <c r="D87" s="110" t="s">
        <v>322</v>
      </c>
      <c r="E87" s="104">
        <v>0.0</v>
      </c>
      <c r="F87" s="104">
        <v>8.82</v>
      </c>
      <c r="G87" s="110" t="s">
        <v>439</v>
      </c>
      <c r="H87" s="112">
        <v>45986.0</v>
      </c>
      <c r="I87" s="110" t="s">
        <v>391</v>
      </c>
      <c r="J87" s="104">
        <v>0.0</v>
      </c>
      <c r="K87" s="110" t="s">
        <v>429</v>
      </c>
      <c r="L87" s="110" t="s">
        <v>440</v>
      </c>
    </row>
    <row r="88">
      <c r="A88" s="110" t="s">
        <v>391</v>
      </c>
      <c r="B88" s="110" t="s">
        <v>426</v>
      </c>
      <c r="C88" s="110" t="s">
        <v>427</v>
      </c>
      <c r="D88" s="110" t="s">
        <v>322</v>
      </c>
      <c r="E88" s="104">
        <v>0.0</v>
      </c>
      <c r="F88" s="104">
        <v>7.72</v>
      </c>
      <c r="G88" s="110" t="s">
        <v>441</v>
      </c>
      <c r="H88" s="112">
        <v>45986.0</v>
      </c>
      <c r="I88" s="110" t="s">
        <v>391</v>
      </c>
      <c r="J88" s="104">
        <v>0.0</v>
      </c>
      <c r="K88" s="110" t="s">
        <v>429</v>
      </c>
      <c r="L88" s="110" t="s">
        <v>442</v>
      </c>
    </row>
    <row r="89">
      <c r="A89" s="110" t="s">
        <v>394</v>
      </c>
      <c r="B89" s="110" t="s">
        <v>426</v>
      </c>
      <c r="C89" s="110" t="s">
        <v>427</v>
      </c>
      <c r="D89" s="110" t="s">
        <v>322</v>
      </c>
      <c r="E89" s="104">
        <v>0.0</v>
      </c>
      <c r="F89" s="104">
        <v>3.969</v>
      </c>
      <c r="G89" s="110" t="s">
        <v>443</v>
      </c>
      <c r="H89" s="112">
        <v>45789.0</v>
      </c>
      <c r="I89" s="104">
        <v>0.0</v>
      </c>
      <c r="J89" s="104">
        <v>0.0</v>
      </c>
      <c r="K89" s="110" t="s">
        <v>444</v>
      </c>
      <c r="L89" s="110" t="s">
        <v>445</v>
      </c>
    </row>
    <row r="90">
      <c r="A90" s="110" t="s">
        <v>394</v>
      </c>
      <c r="B90" s="110" t="s">
        <v>426</v>
      </c>
      <c r="C90" s="110" t="s">
        <v>427</v>
      </c>
      <c r="D90" s="110" t="s">
        <v>322</v>
      </c>
      <c r="E90" s="104">
        <v>0.0</v>
      </c>
      <c r="F90" s="104">
        <v>2.646</v>
      </c>
      <c r="G90" s="110" t="s">
        <v>446</v>
      </c>
      <c r="H90" s="112">
        <v>45789.0</v>
      </c>
      <c r="I90" s="104">
        <v>0.0</v>
      </c>
      <c r="J90" s="104">
        <v>0.0</v>
      </c>
      <c r="K90" s="110" t="s">
        <v>444</v>
      </c>
      <c r="L90" s="110" t="s">
        <v>447</v>
      </c>
    </row>
    <row r="91">
      <c r="A91" s="110" t="s">
        <v>396</v>
      </c>
      <c r="B91" s="104">
        <v>0.0</v>
      </c>
      <c r="C91" s="110" t="s">
        <v>247</v>
      </c>
      <c r="D91" s="110" t="s">
        <v>210</v>
      </c>
      <c r="E91" s="104">
        <v>0.0</v>
      </c>
      <c r="F91" s="104">
        <v>0.0</v>
      </c>
      <c r="G91" s="104">
        <v>0.0</v>
      </c>
      <c r="H91" s="104" t="s">
        <v>232</v>
      </c>
      <c r="I91" s="104">
        <v>0.0</v>
      </c>
      <c r="J91" s="104">
        <v>0.0</v>
      </c>
      <c r="K91" s="110" t="s">
        <v>448</v>
      </c>
      <c r="L91" s="110" t="s">
        <v>449</v>
      </c>
    </row>
    <row r="92">
      <c r="A92" s="110" t="s">
        <v>398</v>
      </c>
      <c r="B92" s="104">
        <v>0.0</v>
      </c>
      <c r="C92" s="110" t="s">
        <v>450</v>
      </c>
      <c r="D92" s="110" t="s">
        <v>201</v>
      </c>
      <c r="E92" s="104">
        <v>0.0</v>
      </c>
      <c r="F92" s="104">
        <v>25.97</v>
      </c>
      <c r="G92" s="110" t="s">
        <v>451</v>
      </c>
      <c r="H92" s="112">
        <v>45826.0</v>
      </c>
      <c r="I92" s="104">
        <v>0.0</v>
      </c>
      <c r="J92" s="104">
        <v>0.0</v>
      </c>
      <c r="K92" s="110" t="s">
        <v>452</v>
      </c>
      <c r="L92" s="110" t="s">
        <v>453</v>
      </c>
    </row>
    <row r="93">
      <c r="A93" s="110" t="s">
        <v>398</v>
      </c>
      <c r="B93" s="104">
        <v>0.0</v>
      </c>
      <c r="C93" s="110" t="s">
        <v>450</v>
      </c>
      <c r="D93" s="110" t="s">
        <v>201</v>
      </c>
      <c r="E93" s="104">
        <v>0.0</v>
      </c>
      <c r="F93" s="104">
        <v>22.97</v>
      </c>
      <c r="G93" s="110" t="s">
        <v>373</v>
      </c>
      <c r="H93" s="112">
        <v>45826.0</v>
      </c>
      <c r="I93" s="104">
        <v>0.0</v>
      </c>
      <c r="J93" s="104">
        <v>0.0</v>
      </c>
      <c r="K93" s="110" t="s">
        <v>452</v>
      </c>
      <c r="L93" s="110" t="s">
        <v>454</v>
      </c>
    </row>
    <row r="94">
      <c r="A94" s="110" t="s">
        <v>398</v>
      </c>
      <c r="B94" s="104">
        <v>0.0</v>
      </c>
      <c r="C94" s="110" t="s">
        <v>450</v>
      </c>
      <c r="D94" s="110" t="s">
        <v>201</v>
      </c>
      <c r="E94" s="104">
        <v>0.0</v>
      </c>
      <c r="F94" s="104">
        <v>19.97</v>
      </c>
      <c r="G94" s="110" t="s">
        <v>268</v>
      </c>
      <c r="H94" s="112">
        <v>45826.0</v>
      </c>
      <c r="I94" s="104">
        <v>0.0</v>
      </c>
      <c r="J94" s="104">
        <v>0.0</v>
      </c>
      <c r="K94" s="110" t="s">
        <v>452</v>
      </c>
      <c r="L94" s="110" t="s">
        <v>455</v>
      </c>
    </row>
    <row r="95">
      <c r="A95" s="110" t="s">
        <v>398</v>
      </c>
      <c r="B95" s="104">
        <v>0.0</v>
      </c>
      <c r="C95" s="110" t="s">
        <v>456</v>
      </c>
      <c r="D95" s="110" t="s">
        <v>201</v>
      </c>
      <c r="E95" s="104">
        <v>0.0</v>
      </c>
      <c r="F95" s="104">
        <v>69.0</v>
      </c>
      <c r="G95" s="110" t="s">
        <v>457</v>
      </c>
      <c r="H95" s="112">
        <v>45825.0</v>
      </c>
      <c r="I95" s="104">
        <v>0.0</v>
      </c>
      <c r="J95" s="104">
        <v>0.0</v>
      </c>
      <c r="K95" s="110" t="s">
        <v>458</v>
      </c>
      <c r="L95" s="110" t="s">
        <v>459</v>
      </c>
    </row>
    <row r="96">
      <c r="A96" s="110" t="s">
        <v>400</v>
      </c>
      <c r="B96" s="104">
        <v>0.0</v>
      </c>
      <c r="C96" s="110" t="s">
        <v>460</v>
      </c>
      <c r="D96" s="110" t="s">
        <v>201</v>
      </c>
      <c r="E96" s="104">
        <v>0.0</v>
      </c>
      <c r="F96" s="104">
        <v>30.24</v>
      </c>
      <c r="G96" s="110" t="s">
        <v>334</v>
      </c>
      <c r="H96" s="112">
        <v>45835.0</v>
      </c>
      <c r="I96" s="110" t="s">
        <v>461</v>
      </c>
      <c r="J96" s="104">
        <v>0.0</v>
      </c>
      <c r="K96" s="110" t="s">
        <v>462</v>
      </c>
      <c r="L96" s="110" t="s">
        <v>463</v>
      </c>
    </row>
    <row r="97">
      <c r="A97" s="110" t="s">
        <v>402</v>
      </c>
      <c r="B97" s="104">
        <v>0.0</v>
      </c>
      <c r="C97" s="110" t="s">
        <v>417</v>
      </c>
      <c r="D97" s="110" t="s">
        <v>201</v>
      </c>
      <c r="E97" s="104">
        <v>0.0</v>
      </c>
      <c r="F97" s="104">
        <v>5.14</v>
      </c>
      <c r="G97" s="110" t="s">
        <v>464</v>
      </c>
      <c r="H97" s="112">
        <v>45817.0</v>
      </c>
      <c r="I97" s="110" t="s">
        <v>465</v>
      </c>
      <c r="J97" s="104">
        <v>0.0</v>
      </c>
      <c r="K97" s="110" t="s">
        <v>466</v>
      </c>
      <c r="L97" s="110" t="s">
        <v>467</v>
      </c>
    </row>
    <row r="98">
      <c r="A98" s="110" t="s">
        <v>404</v>
      </c>
      <c r="B98" s="104">
        <v>0.0</v>
      </c>
      <c r="C98" s="110" t="s">
        <v>468</v>
      </c>
      <c r="D98" s="110" t="s">
        <v>210</v>
      </c>
      <c r="E98" s="104">
        <v>0.0</v>
      </c>
      <c r="F98" s="104">
        <v>25.29</v>
      </c>
      <c r="G98" s="110" t="s">
        <v>218</v>
      </c>
      <c r="H98" s="112">
        <v>45863.0</v>
      </c>
      <c r="I98" s="110" t="s">
        <v>404</v>
      </c>
      <c r="J98" s="104">
        <v>0.0</v>
      </c>
      <c r="K98" s="110" t="s">
        <v>469</v>
      </c>
      <c r="L98" s="110" t="s">
        <v>470</v>
      </c>
    </row>
    <row r="99">
      <c r="A99" s="110" t="s">
        <v>407</v>
      </c>
      <c r="B99" s="104">
        <v>0.0</v>
      </c>
      <c r="C99" s="110" t="s">
        <v>247</v>
      </c>
      <c r="D99" s="110" t="s">
        <v>210</v>
      </c>
      <c r="E99" s="104">
        <v>0.0</v>
      </c>
      <c r="F99" s="104">
        <v>12.8</v>
      </c>
      <c r="G99" s="110" t="s">
        <v>218</v>
      </c>
      <c r="H99" s="112">
        <v>45835.0</v>
      </c>
      <c r="I99" s="110" t="s">
        <v>407</v>
      </c>
      <c r="J99" s="104">
        <v>0.0</v>
      </c>
      <c r="K99" s="110" t="s">
        <v>471</v>
      </c>
      <c r="L99" s="110" t="s">
        <v>472</v>
      </c>
    </row>
    <row r="100">
      <c r="A100" s="110" t="s">
        <v>407</v>
      </c>
      <c r="B100" s="104">
        <v>0.0</v>
      </c>
      <c r="C100" s="110" t="s">
        <v>247</v>
      </c>
      <c r="D100" s="110" t="s">
        <v>210</v>
      </c>
      <c r="E100" s="104">
        <v>0.0</v>
      </c>
      <c r="F100" s="104">
        <v>12.2</v>
      </c>
      <c r="G100" s="110" t="s">
        <v>473</v>
      </c>
      <c r="H100" s="112">
        <v>45835.0</v>
      </c>
      <c r="I100" s="110" t="s">
        <v>407</v>
      </c>
      <c r="J100" s="104">
        <v>0.0</v>
      </c>
      <c r="K100" s="110" t="s">
        <v>471</v>
      </c>
      <c r="L100" s="110" t="s">
        <v>474</v>
      </c>
    </row>
    <row r="101">
      <c r="A101" s="110" t="s">
        <v>407</v>
      </c>
      <c r="B101" s="104">
        <v>0.0</v>
      </c>
      <c r="C101" s="110" t="s">
        <v>247</v>
      </c>
      <c r="D101" s="110" t="s">
        <v>210</v>
      </c>
      <c r="E101" s="104">
        <v>0.0</v>
      </c>
      <c r="F101" s="104">
        <v>11.2</v>
      </c>
      <c r="G101" s="110" t="s">
        <v>475</v>
      </c>
      <c r="H101" s="112">
        <v>45835.0</v>
      </c>
      <c r="I101" s="110" t="s">
        <v>407</v>
      </c>
      <c r="J101" s="104">
        <v>0.0</v>
      </c>
      <c r="K101" s="110" t="s">
        <v>471</v>
      </c>
      <c r="L101" s="110" t="s">
        <v>476</v>
      </c>
    </row>
    <row r="102">
      <c r="A102" s="110" t="s">
        <v>407</v>
      </c>
      <c r="B102" s="104">
        <v>0.0</v>
      </c>
      <c r="C102" s="110" t="s">
        <v>247</v>
      </c>
      <c r="D102" s="110" t="s">
        <v>210</v>
      </c>
      <c r="E102" s="104">
        <v>0.0</v>
      </c>
      <c r="F102" s="104">
        <v>10.7</v>
      </c>
      <c r="G102" s="110" t="s">
        <v>477</v>
      </c>
      <c r="H102" s="112">
        <v>45835.0</v>
      </c>
      <c r="I102" s="110" t="s">
        <v>407</v>
      </c>
      <c r="J102" s="104">
        <v>0.0</v>
      </c>
      <c r="K102" s="110" t="s">
        <v>471</v>
      </c>
      <c r="L102" s="110" t="s">
        <v>478</v>
      </c>
    </row>
    <row r="103">
      <c r="A103" s="110" t="s">
        <v>411</v>
      </c>
      <c r="B103" s="104">
        <v>0.0</v>
      </c>
      <c r="C103" s="110" t="s">
        <v>317</v>
      </c>
      <c r="D103" s="110" t="s">
        <v>217</v>
      </c>
      <c r="E103" s="104">
        <v>0.0</v>
      </c>
      <c r="F103" s="104">
        <v>82.0</v>
      </c>
      <c r="G103" s="104">
        <v>0.0</v>
      </c>
      <c r="H103" s="112">
        <v>45874.0</v>
      </c>
      <c r="I103" s="104">
        <v>0.0</v>
      </c>
      <c r="J103" s="104">
        <v>0.0</v>
      </c>
      <c r="K103" s="110" t="s">
        <v>479</v>
      </c>
      <c r="L103" s="110" t="s">
        <v>480</v>
      </c>
    </row>
    <row r="104">
      <c r="A104" s="110" t="s">
        <v>412</v>
      </c>
      <c r="B104" s="104">
        <v>0.0</v>
      </c>
      <c r="C104" s="110" t="s">
        <v>266</v>
      </c>
      <c r="D104" s="110" t="s">
        <v>210</v>
      </c>
      <c r="E104" s="104">
        <v>0.0</v>
      </c>
      <c r="F104" s="104">
        <v>99.0</v>
      </c>
      <c r="G104" s="110" t="s">
        <v>268</v>
      </c>
      <c r="H104" s="112">
        <v>45930.0</v>
      </c>
      <c r="I104" s="104">
        <v>0.0</v>
      </c>
      <c r="J104" s="104">
        <v>0.0</v>
      </c>
      <c r="K104" s="110" t="s">
        <v>481</v>
      </c>
      <c r="L104" s="110" t="s">
        <v>482</v>
      </c>
    </row>
    <row r="105">
      <c r="A105" s="110" t="s">
        <v>414</v>
      </c>
      <c r="B105" s="104">
        <v>0.0</v>
      </c>
      <c r="C105" s="110" t="s">
        <v>341</v>
      </c>
      <c r="D105" s="110" t="s">
        <v>210</v>
      </c>
      <c r="E105" s="104">
        <v>0.0</v>
      </c>
      <c r="F105" s="104">
        <v>88.0</v>
      </c>
      <c r="G105" s="110" t="s">
        <v>268</v>
      </c>
      <c r="H105" s="112">
        <v>45919.0</v>
      </c>
      <c r="I105" s="104">
        <v>0.0</v>
      </c>
      <c r="J105" s="104">
        <v>0.0</v>
      </c>
      <c r="K105" s="110" t="s">
        <v>483</v>
      </c>
      <c r="L105" s="110" t="s">
        <v>484</v>
      </c>
    </row>
    <row r="106">
      <c r="A106" s="110" t="s">
        <v>416</v>
      </c>
      <c r="B106" s="104">
        <v>0.0</v>
      </c>
      <c r="C106" s="110" t="s">
        <v>317</v>
      </c>
      <c r="D106" s="110" t="s">
        <v>322</v>
      </c>
      <c r="E106" s="104">
        <v>0.0</v>
      </c>
      <c r="F106" s="104">
        <v>138.0</v>
      </c>
      <c r="G106" s="104">
        <v>0.0</v>
      </c>
      <c r="H106" s="112">
        <v>45874.0</v>
      </c>
      <c r="I106" s="104">
        <v>0.0</v>
      </c>
      <c r="J106" s="104">
        <v>0.0</v>
      </c>
      <c r="K106" s="110" t="s">
        <v>485</v>
      </c>
      <c r="L106" s="110" t="s">
        <v>486</v>
      </c>
    </row>
    <row r="107">
      <c r="A107" s="110" t="s">
        <v>420</v>
      </c>
      <c r="B107" s="104">
        <v>0.0</v>
      </c>
      <c r="C107" s="110" t="s">
        <v>266</v>
      </c>
      <c r="D107" s="110" t="s">
        <v>267</v>
      </c>
      <c r="E107" s="104">
        <v>0.0</v>
      </c>
      <c r="F107" s="104">
        <v>4.5</v>
      </c>
      <c r="G107" s="110" t="s">
        <v>268</v>
      </c>
      <c r="H107" s="112">
        <v>45930.0</v>
      </c>
      <c r="I107" s="104">
        <v>0.0</v>
      </c>
      <c r="J107" s="104">
        <v>0.0</v>
      </c>
      <c r="K107" s="110" t="s">
        <v>487</v>
      </c>
      <c r="L107" s="110" t="s">
        <v>488</v>
      </c>
    </row>
    <row r="108">
      <c r="A108" s="110" t="s">
        <v>420</v>
      </c>
      <c r="B108" s="104">
        <v>0.0</v>
      </c>
      <c r="C108" s="110" t="s">
        <v>209</v>
      </c>
      <c r="D108" s="110" t="s">
        <v>217</v>
      </c>
      <c r="E108" s="104">
        <v>0.0</v>
      </c>
      <c r="F108" s="104">
        <v>5.0</v>
      </c>
      <c r="G108" s="110" t="s">
        <v>334</v>
      </c>
      <c r="H108" s="112">
        <v>45742.0</v>
      </c>
      <c r="I108" s="110" t="s">
        <v>489</v>
      </c>
      <c r="J108" s="104">
        <v>0.0</v>
      </c>
      <c r="K108" s="110" t="s">
        <v>490</v>
      </c>
      <c r="L108" s="110" t="s">
        <v>491</v>
      </c>
    </row>
    <row r="109">
      <c r="A109" s="110" t="s">
        <v>420</v>
      </c>
      <c r="B109" s="104">
        <v>0.0</v>
      </c>
      <c r="C109" s="110" t="s">
        <v>209</v>
      </c>
      <c r="D109" s="110" t="s">
        <v>217</v>
      </c>
      <c r="E109" s="104">
        <v>0.0</v>
      </c>
      <c r="F109" s="104">
        <v>6.0</v>
      </c>
      <c r="G109" s="110" t="s">
        <v>238</v>
      </c>
      <c r="H109" s="112">
        <v>45743.0</v>
      </c>
      <c r="I109" s="110" t="s">
        <v>489</v>
      </c>
      <c r="J109" s="104">
        <v>0.0</v>
      </c>
      <c r="K109" s="110" t="s">
        <v>490</v>
      </c>
      <c r="L109" s="110" t="s">
        <v>492</v>
      </c>
    </row>
    <row r="110">
      <c r="A110" s="110" t="s">
        <v>422</v>
      </c>
      <c r="B110" s="104">
        <v>0.0</v>
      </c>
      <c r="C110" s="110" t="s">
        <v>468</v>
      </c>
      <c r="D110" s="110" t="s">
        <v>217</v>
      </c>
      <c r="E110" s="104">
        <v>0.0</v>
      </c>
      <c r="F110" s="104">
        <v>58.94</v>
      </c>
      <c r="G110" s="110" t="s">
        <v>218</v>
      </c>
      <c r="H110" s="112">
        <v>45936.0</v>
      </c>
      <c r="I110" s="110" t="s">
        <v>422</v>
      </c>
      <c r="J110" s="104">
        <v>0.0</v>
      </c>
      <c r="K110" s="110" t="s">
        <v>493</v>
      </c>
      <c r="L110" s="110" t="s">
        <v>494</v>
      </c>
    </row>
    <row r="111">
      <c r="A111" s="110" t="s">
        <v>425</v>
      </c>
      <c r="B111" s="104">
        <v>0.0</v>
      </c>
      <c r="C111" s="110" t="s">
        <v>209</v>
      </c>
      <c r="D111" s="110" t="s">
        <v>217</v>
      </c>
      <c r="E111" s="104">
        <v>0.0</v>
      </c>
      <c r="F111" s="104">
        <v>18.0</v>
      </c>
      <c r="G111" s="110" t="s">
        <v>218</v>
      </c>
      <c r="H111" s="112">
        <v>45846.0</v>
      </c>
      <c r="I111" s="110" t="s">
        <v>425</v>
      </c>
      <c r="J111" s="104">
        <v>0.0</v>
      </c>
      <c r="K111" s="110" t="s">
        <v>495</v>
      </c>
      <c r="L111" s="110" t="s">
        <v>496</v>
      </c>
    </row>
    <row r="112">
      <c r="A112" s="110" t="s">
        <v>430</v>
      </c>
      <c r="B112" s="104">
        <v>0.0</v>
      </c>
      <c r="C112" s="110" t="s">
        <v>209</v>
      </c>
      <c r="D112" s="110" t="s">
        <v>217</v>
      </c>
      <c r="E112" s="104">
        <v>0.0</v>
      </c>
      <c r="F112" s="104">
        <v>73.0</v>
      </c>
      <c r="G112" s="110" t="s">
        <v>302</v>
      </c>
      <c r="H112" s="112">
        <v>45846.0</v>
      </c>
      <c r="I112" s="110" t="s">
        <v>430</v>
      </c>
      <c r="J112" s="104">
        <v>0.0</v>
      </c>
      <c r="K112" s="110" t="s">
        <v>497</v>
      </c>
      <c r="L112" s="110" t="s">
        <v>498</v>
      </c>
    </row>
    <row r="113">
      <c r="A113" s="110" t="s">
        <v>432</v>
      </c>
      <c r="B113" s="104">
        <v>0.0</v>
      </c>
      <c r="C113" s="110" t="s">
        <v>209</v>
      </c>
      <c r="D113" s="110" t="s">
        <v>217</v>
      </c>
      <c r="E113" s="104">
        <v>0.0</v>
      </c>
      <c r="F113" s="104">
        <v>0.0</v>
      </c>
      <c r="G113" s="104">
        <v>0.0</v>
      </c>
      <c r="H113" s="104" t="s">
        <v>232</v>
      </c>
      <c r="I113" s="104">
        <v>0.0</v>
      </c>
      <c r="J113" s="104">
        <v>0.0</v>
      </c>
      <c r="K113" s="110" t="s">
        <v>499</v>
      </c>
      <c r="L113" s="110" t="s">
        <v>500</v>
      </c>
    </row>
    <row r="114">
      <c r="A114" s="110" t="s">
        <v>434</v>
      </c>
      <c r="B114" s="104">
        <v>0.0</v>
      </c>
      <c r="C114" s="110" t="s">
        <v>209</v>
      </c>
      <c r="D114" s="110" t="s">
        <v>217</v>
      </c>
      <c r="E114" s="104">
        <v>0.0</v>
      </c>
      <c r="F114" s="104">
        <v>89.0</v>
      </c>
      <c r="G114" s="110" t="s">
        <v>302</v>
      </c>
      <c r="H114" s="112">
        <v>45846.0</v>
      </c>
      <c r="I114" s="110" t="s">
        <v>434</v>
      </c>
      <c r="J114" s="104">
        <v>0.0</v>
      </c>
      <c r="K114" s="110" t="s">
        <v>501</v>
      </c>
      <c r="L114" s="110" t="s">
        <v>502</v>
      </c>
    </row>
    <row r="115">
      <c r="A115" s="110" t="s">
        <v>436</v>
      </c>
      <c r="B115" s="104">
        <v>0.0</v>
      </c>
      <c r="C115" s="110" t="s">
        <v>200</v>
      </c>
      <c r="D115" s="110" t="s">
        <v>217</v>
      </c>
      <c r="E115" s="104">
        <v>0.0</v>
      </c>
      <c r="F115" s="104">
        <v>55.0</v>
      </c>
      <c r="G115" s="110" t="s">
        <v>238</v>
      </c>
      <c r="H115" s="112">
        <v>45848.0</v>
      </c>
      <c r="I115" s="110" t="s">
        <v>503</v>
      </c>
      <c r="J115" s="104">
        <v>0.0</v>
      </c>
      <c r="K115" s="110" t="s">
        <v>504</v>
      </c>
      <c r="L115" s="110" t="s">
        <v>505</v>
      </c>
    </row>
    <row r="116">
      <c r="A116" s="110" t="s">
        <v>438</v>
      </c>
      <c r="B116" s="104">
        <v>0.0</v>
      </c>
      <c r="C116" s="110" t="s">
        <v>261</v>
      </c>
      <c r="D116" s="110" t="s">
        <v>217</v>
      </c>
      <c r="E116" s="104">
        <v>0.0</v>
      </c>
      <c r="F116" s="104">
        <v>237.0</v>
      </c>
      <c r="G116" s="110" t="s">
        <v>238</v>
      </c>
      <c r="H116" s="112">
        <v>45831.0</v>
      </c>
      <c r="I116" s="110" t="s">
        <v>506</v>
      </c>
      <c r="J116" s="104">
        <v>0.0</v>
      </c>
      <c r="K116" s="110" t="s">
        <v>507</v>
      </c>
      <c r="L116" s="110" t="s">
        <v>508</v>
      </c>
    </row>
    <row r="117">
      <c r="A117" s="110" t="s">
        <v>440</v>
      </c>
      <c r="B117" s="104">
        <v>0.0</v>
      </c>
      <c r="C117" s="110" t="s">
        <v>273</v>
      </c>
      <c r="D117" s="110" t="s">
        <v>217</v>
      </c>
      <c r="E117" s="104">
        <v>0.0</v>
      </c>
      <c r="F117" s="104">
        <v>359.38</v>
      </c>
      <c r="G117" s="110" t="s">
        <v>338</v>
      </c>
      <c r="H117" s="112">
        <v>45848.0</v>
      </c>
      <c r="I117" s="110" t="s">
        <v>509</v>
      </c>
      <c r="J117" s="104">
        <v>0.0</v>
      </c>
      <c r="K117" s="110" t="s">
        <v>510</v>
      </c>
      <c r="L117" s="110" t="s">
        <v>511</v>
      </c>
    </row>
    <row r="118">
      <c r="A118" s="110" t="s">
        <v>442</v>
      </c>
      <c r="B118" s="104">
        <v>0.0</v>
      </c>
      <c r="C118" s="110" t="s">
        <v>317</v>
      </c>
      <c r="D118" s="110" t="s">
        <v>201</v>
      </c>
      <c r="E118" s="104">
        <v>0.0</v>
      </c>
      <c r="F118" s="104">
        <v>6.0</v>
      </c>
      <c r="G118" s="104">
        <v>0.0</v>
      </c>
      <c r="H118" s="112">
        <v>45874.0</v>
      </c>
      <c r="I118" s="104">
        <v>0.0</v>
      </c>
      <c r="J118" s="104">
        <v>0.0</v>
      </c>
      <c r="K118" s="110" t="s">
        <v>512</v>
      </c>
      <c r="L118" s="110" t="s">
        <v>513</v>
      </c>
    </row>
    <row r="119">
      <c r="A119" s="110" t="s">
        <v>442</v>
      </c>
      <c r="B119" s="104">
        <v>0.0</v>
      </c>
      <c r="C119" s="110" t="s">
        <v>365</v>
      </c>
      <c r="D119" s="110" t="s">
        <v>217</v>
      </c>
      <c r="E119" s="104">
        <v>0.0</v>
      </c>
      <c r="F119" s="104">
        <v>0.0</v>
      </c>
      <c r="G119" s="104">
        <v>0.0</v>
      </c>
      <c r="H119" s="104" t="s">
        <v>232</v>
      </c>
      <c r="I119" s="104">
        <v>0.0</v>
      </c>
      <c r="J119" s="104">
        <v>0.0</v>
      </c>
      <c r="K119" s="110" t="s">
        <v>514</v>
      </c>
      <c r="L119" s="110" t="s">
        <v>515</v>
      </c>
    </row>
    <row r="120">
      <c r="A120" s="110" t="s">
        <v>445</v>
      </c>
      <c r="B120" s="104">
        <v>0.0</v>
      </c>
      <c r="C120" s="110" t="s">
        <v>209</v>
      </c>
      <c r="D120" s="110" t="s">
        <v>217</v>
      </c>
      <c r="E120" s="104">
        <v>0.0</v>
      </c>
      <c r="F120" s="104">
        <v>0.0</v>
      </c>
      <c r="G120" s="104">
        <v>0.0</v>
      </c>
      <c r="H120" s="104" t="s">
        <v>232</v>
      </c>
      <c r="I120" s="104">
        <v>0.0</v>
      </c>
      <c r="J120" s="104">
        <v>0.0</v>
      </c>
      <c r="K120" s="110" t="s">
        <v>516</v>
      </c>
      <c r="L120" s="110" t="s">
        <v>517</v>
      </c>
    </row>
    <row r="121">
      <c r="A121" s="110" t="s">
        <v>447</v>
      </c>
      <c r="B121" s="104">
        <v>0.0</v>
      </c>
      <c r="C121" s="110" t="s">
        <v>209</v>
      </c>
      <c r="D121" s="110" t="s">
        <v>217</v>
      </c>
      <c r="E121" s="104">
        <v>0.0</v>
      </c>
      <c r="F121" s="104">
        <v>0.0</v>
      </c>
      <c r="G121" s="104">
        <v>0.0</v>
      </c>
      <c r="H121" s="104" t="s">
        <v>232</v>
      </c>
      <c r="I121" s="104">
        <v>0.0</v>
      </c>
      <c r="J121" s="104">
        <v>0.0</v>
      </c>
      <c r="K121" s="110" t="s">
        <v>518</v>
      </c>
      <c r="L121" s="110" t="s">
        <v>519</v>
      </c>
    </row>
    <row r="122">
      <c r="A122" s="110" t="s">
        <v>449</v>
      </c>
      <c r="B122" s="110" t="s">
        <v>449</v>
      </c>
      <c r="C122" s="110" t="s">
        <v>520</v>
      </c>
      <c r="D122" s="110" t="s">
        <v>210</v>
      </c>
      <c r="E122" s="104">
        <v>0.0</v>
      </c>
      <c r="F122" s="104">
        <v>0.0</v>
      </c>
      <c r="G122" s="104">
        <v>0.0</v>
      </c>
      <c r="H122" s="104" t="s">
        <v>232</v>
      </c>
      <c r="I122" s="104">
        <v>0.0</v>
      </c>
      <c r="J122" s="104">
        <v>0.0</v>
      </c>
      <c r="K122" s="110" t="s">
        <v>521</v>
      </c>
      <c r="L122" s="110" t="s">
        <v>522</v>
      </c>
    </row>
    <row r="123">
      <c r="A123" s="110" t="s">
        <v>453</v>
      </c>
      <c r="B123" s="104">
        <v>0.0</v>
      </c>
      <c r="C123" s="110" t="s">
        <v>386</v>
      </c>
      <c r="D123" s="110" t="s">
        <v>217</v>
      </c>
      <c r="E123" s="104">
        <v>0.0</v>
      </c>
      <c r="F123" s="104">
        <v>350.0</v>
      </c>
      <c r="G123" s="110" t="s">
        <v>211</v>
      </c>
      <c r="H123" s="112">
        <v>45663.0</v>
      </c>
      <c r="I123" s="104">
        <v>0.0</v>
      </c>
      <c r="J123" s="104">
        <v>0.0</v>
      </c>
      <c r="K123" s="110" t="s">
        <v>523</v>
      </c>
      <c r="L123" s="110" t="s">
        <v>524</v>
      </c>
    </row>
    <row r="124">
      <c r="A124" s="110" t="s">
        <v>453</v>
      </c>
      <c r="B124" s="104">
        <v>0.0</v>
      </c>
      <c r="C124" s="110" t="s">
        <v>209</v>
      </c>
      <c r="D124" s="110" t="s">
        <v>217</v>
      </c>
      <c r="E124" s="104">
        <v>0.0</v>
      </c>
      <c r="F124" s="104">
        <v>0.0</v>
      </c>
      <c r="G124" s="104">
        <v>0.0</v>
      </c>
      <c r="H124" s="104" t="s">
        <v>232</v>
      </c>
      <c r="I124" s="104">
        <v>0.0</v>
      </c>
      <c r="J124" s="104">
        <v>0.0</v>
      </c>
      <c r="K124" s="110" t="s">
        <v>525</v>
      </c>
      <c r="L124" s="110" t="s">
        <v>526</v>
      </c>
    </row>
    <row r="125">
      <c r="A125" s="110" t="s">
        <v>454</v>
      </c>
      <c r="B125" s="104">
        <v>0.0</v>
      </c>
      <c r="C125" s="110" t="s">
        <v>386</v>
      </c>
      <c r="D125" s="110" t="s">
        <v>217</v>
      </c>
      <c r="E125" s="104">
        <v>0.0</v>
      </c>
      <c r="F125" s="104">
        <v>16.5</v>
      </c>
      <c r="G125" s="110" t="s">
        <v>238</v>
      </c>
      <c r="H125" s="112">
        <v>45883.0</v>
      </c>
      <c r="I125" s="110" t="s">
        <v>454</v>
      </c>
      <c r="J125" s="104">
        <v>0.0</v>
      </c>
      <c r="K125" s="110" t="s">
        <v>527</v>
      </c>
      <c r="L125" s="110" t="s">
        <v>528</v>
      </c>
    </row>
    <row r="126">
      <c r="A126" s="110" t="s">
        <v>455</v>
      </c>
      <c r="B126" s="104">
        <v>0.0</v>
      </c>
      <c r="C126" s="110" t="s">
        <v>209</v>
      </c>
      <c r="D126" s="110" t="s">
        <v>217</v>
      </c>
      <c r="E126" s="104">
        <v>0.0</v>
      </c>
      <c r="F126" s="104">
        <v>9.5</v>
      </c>
      <c r="G126" s="110" t="s">
        <v>238</v>
      </c>
      <c r="H126" s="112">
        <v>45915.0</v>
      </c>
      <c r="I126" s="110" t="s">
        <v>455</v>
      </c>
      <c r="J126" s="104">
        <v>0.0</v>
      </c>
      <c r="K126" s="110" t="s">
        <v>529</v>
      </c>
      <c r="L126" s="110" t="s">
        <v>530</v>
      </c>
    </row>
    <row r="127">
      <c r="A127" s="110" t="s">
        <v>459</v>
      </c>
      <c r="B127" s="104">
        <v>0.0</v>
      </c>
      <c r="C127" s="110" t="s">
        <v>337</v>
      </c>
      <c r="D127" s="110" t="s">
        <v>217</v>
      </c>
      <c r="E127" s="104">
        <v>0.0</v>
      </c>
      <c r="F127" s="104">
        <v>270.0</v>
      </c>
      <c r="G127" s="110" t="s">
        <v>302</v>
      </c>
      <c r="H127" s="112">
        <v>45603.0</v>
      </c>
      <c r="I127" s="104">
        <v>0.0</v>
      </c>
      <c r="J127" s="104">
        <v>0.0</v>
      </c>
      <c r="K127" s="110" t="s">
        <v>531</v>
      </c>
      <c r="L127" s="110" t="s">
        <v>532</v>
      </c>
    </row>
    <row r="128">
      <c r="A128" s="110" t="s">
        <v>463</v>
      </c>
      <c r="B128" s="104">
        <v>0.0</v>
      </c>
      <c r="C128" s="110" t="s">
        <v>310</v>
      </c>
      <c r="D128" s="110" t="s">
        <v>217</v>
      </c>
      <c r="E128" s="104">
        <v>0.0</v>
      </c>
      <c r="F128" s="104">
        <v>165.0</v>
      </c>
      <c r="G128" s="104">
        <v>0.0</v>
      </c>
      <c r="H128" s="112">
        <v>45707.0</v>
      </c>
      <c r="I128" s="104">
        <v>0.0</v>
      </c>
      <c r="J128" s="104">
        <v>0.0</v>
      </c>
      <c r="K128" s="110" t="s">
        <v>533</v>
      </c>
      <c r="L128" s="110" t="s">
        <v>534</v>
      </c>
    </row>
    <row r="129">
      <c r="A129" s="110" t="s">
        <v>467</v>
      </c>
      <c r="B129" s="104">
        <v>0.0</v>
      </c>
      <c r="C129" s="110" t="s">
        <v>535</v>
      </c>
      <c r="D129" s="110" t="s">
        <v>210</v>
      </c>
      <c r="E129" s="104">
        <v>0.0</v>
      </c>
      <c r="F129" s="104">
        <v>235.0</v>
      </c>
      <c r="G129" s="110" t="s">
        <v>238</v>
      </c>
      <c r="H129" s="112">
        <v>45876.0</v>
      </c>
      <c r="I129" s="104">
        <v>0.0</v>
      </c>
      <c r="J129" s="104">
        <v>0.0</v>
      </c>
      <c r="K129" s="110" t="s">
        <v>536</v>
      </c>
      <c r="L129" s="110" t="s">
        <v>537</v>
      </c>
    </row>
    <row r="130">
      <c r="A130" s="110" t="s">
        <v>470</v>
      </c>
      <c r="B130" s="104">
        <v>0.0</v>
      </c>
      <c r="C130" s="110" t="s">
        <v>209</v>
      </c>
      <c r="D130" s="110" t="s">
        <v>217</v>
      </c>
      <c r="E130" s="104">
        <v>0.0</v>
      </c>
      <c r="F130" s="104">
        <v>0.0</v>
      </c>
      <c r="G130" s="104">
        <v>0.0</v>
      </c>
      <c r="H130" s="104" t="s">
        <v>232</v>
      </c>
      <c r="I130" s="104">
        <v>0.0</v>
      </c>
      <c r="J130" s="104">
        <v>0.0</v>
      </c>
      <c r="K130" s="110" t="s">
        <v>538</v>
      </c>
      <c r="L130" s="110" t="s">
        <v>539</v>
      </c>
    </row>
    <row r="131">
      <c r="A131" s="110" t="s">
        <v>472</v>
      </c>
      <c r="B131" s="104">
        <v>0.0</v>
      </c>
      <c r="C131" s="110" t="s">
        <v>331</v>
      </c>
      <c r="D131" s="110" t="s">
        <v>210</v>
      </c>
      <c r="E131" s="104">
        <v>0.0</v>
      </c>
      <c r="F131" s="104">
        <v>17.0</v>
      </c>
      <c r="G131" s="110" t="s">
        <v>540</v>
      </c>
      <c r="H131" s="112">
        <v>45979.0</v>
      </c>
      <c r="I131" s="110" t="s">
        <v>472</v>
      </c>
      <c r="J131" s="104">
        <v>0.0</v>
      </c>
      <c r="K131" s="110" t="s">
        <v>541</v>
      </c>
      <c r="L131" s="110" t="s">
        <v>542</v>
      </c>
    </row>
    <row r="132">
      <c r="A132" s="110" t="s">
        <v>474</v>
      </c>
      <c r="B132" s="104">
        <v>0.0</v>
      </c>
      <c r="C132" s="110" t="s">
        <v>543</v>
      </c>
      <c r="D132" s="110" t="s">
        <v>544</v>
      </c>
      <c r="E132" s="104">
        <v>0.0</v>
      </c>
      <c r="F132" s="104">
        <v>63.02</v>
      </c>
      <c r="G132" s="110" t="s">
        <v>206</v>
      </c>
      <c r="H132" s="112">
        <v>45964.0</v>
      </c>
      <c r="I132" s="110" t="s">
        <v>474</v>
      </c>
      <c r="J132" s="104">
        <v>0.0</v>
      </c>
      <c r="K132" s="110" t="s">
        <v>545</v>
      </c>
      <c r="L132" s="110" t="s">
        <v>546</v>
      </c>
    </row>
    <row r="133">
      <c r="A133" s="110" t="s">
        <v>474</v>
      </c>
      <c r="B133" s="104">
        <v>0.0</v>
      </c>
      <c r="C133" s="110" t="s">
        <v>543</v>
      </c>
      <c r="D133" s="110" t="s">
        <v>544</v>
      </c>
      <c r="E133" s="104">
        <v>0.0</v>
      </c>
      <c r="F133" s="104">
        <v>43.05</v>
      </c>
      <c r="G133" s="110" t="s">
        <v>547</v>
      </c>
      <c r="H133" s="112">
        <v>45964.0</v>
      </c>
      <c r="I133" s="110" t="s">
        <v>474</v>
      </c>
      <c r="J133" s="104">
        <v>0.0</v>
      </c>
      <c r="K133" s="110" t="s">
        <v>545</v>
      </c>
      <c r="L133" s="110" t="s">
        <v>548</v>
      </c>
    </row>
    <row r="134">
      <c r="A134" s="110" t="s">
        <v>474</v>
      </c>
      <c r="B134" s="104">
        <v>0.0</v>
      </c>
      <c r="C134" s="110" t="s">
        <v>543</v>
      </c>
      <c r="D134" s="110" t="s">
        <v>544</v>
      </c>
      <c r="E134" s="104">
        <v>0.0</v>
      </c>
      <c r="F134" s="104">
        <v>39.49</v>
      </c>
      <c r="G134" s="110" t="s">
        <v>549</v>
      </c>
      <c r="H134" s="112">
        <v>45964.0</v>
      </c>
      <c r="I134" s="110" t="s">
        <v>474</v>
      </c>
      <c r="J134" s="104">
        <v>0.0</v>
      </c>
      <c r="K134" s="110" t="s">
        <v>545</v>
      </c>
      <c r="L134" s="110" t="s">
        <v>550</v>
      </c>
    </row>
    <row r="135">
      <c r="A135" s="110" t="s">
        <v>476</v>
      </c>
      <c r="B135" s="104">
        <v>0.0</v>
      </c>
      <c r="C135" s="110" t="s">
        <v>551</v>
      </c>
      <c r="D135" s="110" t="s">
        <v>552</v>
      </c>
      <c r="E135" s="104">
        <v>0.0</v>
      </c>
      <c r="F135" s="104">
        <v>32.2</v>
      </c>
      <c r="G135" s="110" t="s">
        <v>238</v>
      </c>
      <c r="H135" s="112">
        <v>45713.0</v>
      </c>
      <c r="I135" s="104">
        <v>0.0</v>
      </c>
      <c r="J135" s="104">
        <v>0.0</v>
      </c>
      <c r="K135" s="110" t="s">
        <v>553</v>
      </c>
      <c r="L135" s="110" t="s">
        <v>554</v>
      </c>
    </row>
    <row r="136">
      <c r="A136" s="110" t="s">
        <v>478</v>
      </c>
      <c r="B136" s="104">
        <v>0.0</v>
      </c>
      <c r="C136" s="110" t="s">
        <v>551</v>
      </c>
      <c r="D136" s="110" t="s">
        <v>552</v>
      </c>
      <c r="E136" s="104">
        <v>0.0</v>
      </c>
      <c r="F136" s="104">
        <v>36.83</v>
      </c>
      <c r="G136" s="110" t="s">
        <v>238</v>
      </c>
      <c r="H136" s="112">
        <v>45720.0</v>
      </c>
      <c r="I136" s="110" t="s">
        <v>478</v>
      </c>
      <c r="J136" s="104">
        <v>0.0</v>
      </c>
      <c r="K136" s="110" t="s">
        <v>555</v>
      </c>
      <c r="L136" s="110" t="s">
        <v>556</v>
      </c>
    </row>
    <row r="137">
      <c r="A137" s="110" t="s">
        <v>480</v>
      </c>
      <c r="B137" s="104">
        <v>0.0</v>
      </c>
      <c r="C137" s="110" t="s">
        <v>325</v>
      </c>
      <c r="D137" s="110" t="s">
        <v>544</v>
      </c>
      <c r="E137" s="104">
        <v>0.0</v>
      </c>
      <c r="F137" s="104">
        <v>41.95</v>
      </c>
      <c r="G137" s="110" t="s">
        <v>557</v>
      </c>
      <c r="H137" s="112">
        <v>45930.0</v>
      </c>
      <c r="I137" s="110" t="s">
        <v>480</v>
      </c>
      <c r="J137" s="104">
        <v>0.0</v>
      </c>
      <c r="K137" s="110" t="s">
        <v>558</v>
      </c>
      <c r="L137" s="110" t="s">
        <v>559</v>
      </c>
    </row>
    <row r="138">
      <c r="A138" s="110" t="s">
        <v>482</v>
      </c>
      <c r="B138" s="104">
        <v>0.0</v>
      </c>
      <c r="C138" s="110" t="s">
        <v>337</v>
      </c>
      <c r="D138" s="110" t="s">
        <v>210</v>
      </c>
      <c r="E138" s="104">
        <v>0.0</v>
      </c>
      <c r="F138" s="104">
        <v>54.0</v>
      </c>
      <c r="G138" s="110" t="s">
        <v>238</v>
      </c>
      <c r="H138" s="112">
        <v>45677.0</v>
      </c>
      <c r="I138" s="104">
        <v>0.0</v>
      </c>
      <c r="J138" s="104">
        <v>0.0</v>
      </c>
      <c r="K138" s="110" t="s">
        <v>560</v>
      </c>
      <c r="L138" s="110" t="s">
        <v>561</v>
      </c>
    </row>
    <row r="139">
      <c r="A139" s="110" t="s">
        <v>484</v>
      </c>
      <c r="B139" s="104">
        <v>0.0</v>
      </c>
      <c r="C139" s="110" t="s">
        <v>562</v>
      </c>
      <c r="D139" s="110" t="s">
        <v>210</v>
      </c>
      <c r="E139" s="104">
        <v>0.0</v>
      </c>
      <c r="F139" s="104">
        <v>17.5</v>
      </c>
      <c r="G139" s="110" t="s">
        <v>238</v>
      </c>
      <c r="H139" s="112">
        <v>45812.0</v>
      </c>
      <c r="I139" s="110" t="s">
        <v>563</v>
      </c>
      <c r="J139" s="104">
        <v>0.0</v>
      </c>
      <c r="K139" s="110" t="s">
        <v>564</v>
      </c>
      <c r="L139" s="110" t="s">
        <v>565</v>
      </c>
    </row>
    <row r="140">
      <c r="A140" s="110" t="s">
        <v>486</v>
      </c>
      <c r="B140" s="104">
        <v>0.0</v>
      </c>
      <c r="C140" s="110" t="s">
        <v>551</v>
      </c>
      <c r="D140" s="110" t="s">
        <v>552</v>
      </c>
      <c r="E140" s="104">
        <v>0.0</v>
      </c>
      <c r="F140" s="104">
        <v>32.2</v>
      </c>
      <c r="G140" s="110" t="s">
        <v>238</v>
      </c>
      <c r="H140" s="112">
        <v>45713.0</v>
      </c>
      <c r="I140" s="104">
        <v>0.0</v>
      </c>
      <c r="J140" s="104">
        <v>0.0</v>
      </c>
      <c r="K140" s="110" t="s">
        <v>566</v>
      </c>
      <c r="L140" s="110" t="s">
        <v>567</v>
      </c>
    </row>
    <row r="141">
      <c r="A141" s="110" t="s">
        <v>488</v>
      </c>
      <c r="B141" s="104">
        <v>0.0</v>
      </c>
      <c r="C141" s="110" t="s">
        <v>551</v>
      </c>
      <c r="D141" s="110" t="s">
        <v>552</v>
      </c>
      <c r="E141" s="104">
        <v>0.0</v>
      </c>
      <c r="F141" s="104">
        <v>36.83</v>
      </c>
      <c r="G141" s="110" t="s">
        <v>238</v>
      </c>
      <c r="H141" s="112">
        <v>45720.0</v>
      </c>
      <c r="I141" s="104">
        <v>0.0</v>
      </c>
      <c r="J141" s="104">
        <v>0.0</v>
      </c>
      <c r="K141" s="110" t="s">
        <v>568</v>
      </c>
      <c r="L141" s="110" t="s">
        <v>569</v>
      </c>
    </row>
    <row r="142">
      <c r="A142" s="110" t="s">
        <v>491</v>
      </c>
      <c r="B142" s="104">
        <v>0.0</v>
      </c>
      <c r="C142" s="110" t="s">
        <v>386</v>
      </c>
      <c r="D142" s="110" t="s">
        <v>210</v>
      </c>
      <c r="E142" s="104">
        <v>0.0</v>
      </c>
      <c r="F142" s="104">
        <v>28.5</v>
      </c>
      <c r="G142" s="110" t="s">
        <v>238</v>
      </c>
      <c r="H142" s="112">
        <v>45679.0</v>
      </c>
      <c r="I142" s="104">
        <v>0.0</v>
      </c>
      <c r="J142" s="104">
        <v>0.0</v>
      </c>
      <c r="K142" s="110" t="s">
        <v>570</v>
      </c>
      <c r="L142" s="110" t="s">
        <v>571</v>
      </c>
    </row>
    <row r="143">
      <c r="A143" s="110" t="s">
        <v>492</v>
      </c>
      <c r="B143" s="104">
        <v>0.0</v>
      </c>
      <c r="C143" s="110" t="s">
        <v>261</v>
      </c>
      <c r="D143" s="110" t="s">
        <v>217</v>
      </c>
      <c r="E143" s="104">
        <v>0.0</v>
      </c>
      <c r="F143" s="104">
        <v>18.0</v>
      </c>
      <c r="G143" s="110" t="s">
        <v>238</v>
      </c>
      <c r="H143" s="110" t="s">
        <v>572</v>
      </c>
      <c r="I143" s="110" t="s">
        <v>573</v>
      </c>
      <c r="J143" s="104">
        <v>0.0</v>
      </c>
      <c r="K143" s="110" t="s">
        <v>574</v>
      </c>
      <c r="L143" s="110" t="s">
        <v>575</v>
      </c>
    </row>
    <row r="144">
      <c r="A144" s="110" t="s">
        <v>494</v>
      </c>
      <c r="B144" s="104">
        <v>0.0</v>
      </c>
      <c r="C144" s="110" t="s">
        <v>456</v>
      </c>
      <c r="D144" s="110" t="s">
        <v>217</v>
      </c>
      <c r="E144" s="104">
        <v>0.0</v>
      </c>
      <c r="F144" s="104">
        <v>375.62</v>
      </c>
      <c r="G144" s="110" t="s">
        <v>457</v>
      </c>
      <c r="H144" s="112">
        <v>45825.0</v>
      </c>
      <c r="I144" s="104">
        <v>0.0</v>
      </c>
      <c r="J144" s="104">
        <v>0.0</v>
      </c>
      <c r="K144" s="110" t="s">
        <v>576</v>
      </c>
      <c r="L144" s="110" t="s">
        <v>577</v>
      </c>
    </row>
    <row r="145">
      <c r="A145" s="110" t="s">
        <v>496</v>
      </c>
      <c r="B145" s="104">
        <v>0.0</v>
      </c>
      <c r="C145" s="110" t="s">
        <v>344</v>
      </c>
      <c r="D145" s="110" t="s">
        <v>210</v>
      </c>
      <c r="E145" s="104">
        <v>0.0</v>
      </c>
      <c r="F145" s="104">
        <v>11.0</v>
      </c>
      <c r="G145" s="110" t="s">
        <v>345</v>
      </c>
      <c r="H145" s="112">
        <v>45854.0</v>
      </c>
      <c r="I145" s="110" t="s">
        <v>496</v>
      </c>
      <c r="J145" s="104">
        <v>0.0</v>
      </c>
      <c r="K145" s="110" t="s">
        <v>578</v>
      </c>
      <c r="L145" s="110" t="s">
        <v>579</v>
      </c>
    </row>
    <row r="146">
      <c r="A146" s="110" t="s">
        <v>498</v>
      </c>
      <c r="B146" s="104">
        <v>0.0</v>
      </c>
      <c r="C146" s="110" t="s">
        <v>331</v>
      </c>
      <c r="D146" s="104">
        <v>0.0</v>
      </c>
      <c r="E146" s="104">
        <v>0.0</v>
      </c>
      <c r="F146" s="104">
        <v>29.0</v>
      </c>
      <c r="G146" s="110" t="s">
        <v>238</v>
      </c>
      <c r="H146" s="112">
        <v>45884.0</v>
      </c>
      <c r="I146" s="110" t="s">
        <v>498</v>
      </c>
      <c r="J146" s="104">
        <v>0.0</v>
      </c>
      <c r="K146" s="110" t="s">
        <v>580</v>
      </c>
      <c r="L146" s="110" t="s">
        <v>581</v>
      </c>
    </row>
    <row r="147">
      <c r="A147" s="110" t="s">
        <v>500</v>
      </c>
      <c r="B147" s="104">
        <v>0.0</v>
      </c>
      <c r="C147" s="110" t="s">
        <v>562</v>
      </c>
      <c r="D147" s="110" t="s">
        <v>210</v>
      </c>
      <c r="E147" s="104">
        <v>0.0</v>
      </c>
      <c r="F147" s="104">
        <v>19.0</v>
      </c>
      <c r="G147" s="110" t="s">
        <v>238</v>
      </c>
      <c r="H147" s="112">
        <v>45887.0</v>
      </c>
      <c r="I147" s="110" t="s">
        <v>500</v>
      </c>
      <c r="J147" s="104">
        <v>0.0</v>
      </c>
      <c r="K147" s="110" t="s">
        <v>582</v>
      </c>
      <c r="L147" s="110" t="s">
        <v>583</v>
      </c>
    </row>
    <row r="148">
      <c r="A148" s="110" t="s">
        <v>502</v>
      </c>
      <c r="B148" s="104">
        <v>0.0</v>
      </c>
      <c r="C148" s="110" t="s">
        <v>562</v>
      </c>
      <c r="D148" s="110" t="s">
        <v>210</v>
      </c>
      <c r="E148" s="104">
        <v>0.0</v>
      </c>
      <c r="F148" s="104">
        <v>19.0</v>
      </c>
      <c r="G148" s="110" t="s">
        <v>238</v>
      </c>
      <c r="H148" s="112">
        <v>45887.0</v>
      </c>
      <c r="I148" s="110" t="s">
        <v>502</v>
      </c>
      <c r="J148" s="104">
        <v>0.0</v>
      </c>
      <c r="K148" s="110" t="s">
        <v>584</v>
      </c>
      <c r="L148" s="110" t="s">
        <v>585</v>
      </c>
    </row>
    <row r="149">
      <c r="A149" s="110" t="s">
        <v>505</v>
      </c>
      <c r="B149" s="104">
        <v>0.0</v>
      </c>
      <c r="C149" s="110" t="s">
        <v>266</v>
      </c>
      <c r="D149" s="110" t="s">
        <v>201</v>
      </c>
      <c r="E149" s="104">
        <v>0.0</v>
      </c>
      <c r="F149" s="104">
        <v>7.95</v>
      </c>
      <c r="G149" s="110" t="s">
        <v>268</v>
      </c>
      <c r="H149" s="112">
        <v>45930.0</v>
      </c>
      <c r="I149" s="104">
        <v>0.0</v>
      </c>
      <c r="J149" s="104">
        <v>0.0</v>
      </c>
      <c r="K149" s="110" t="s">
        <v>586</v>
      </c>
      <c r="L149" s="110" t="s">
        <v>587</v>
      </c>
    </row>
    <row r="150">
      <c r="A150" s="110" t="s">
        <v>508</v>
      </c>
      <c r="B150" s="104">
        <v>0.0</v>
      </c>
      <c r="C150" s="110" t="s">
        <v>588</v>
      </c>
      <c r="D150" s="110" t="s">
        <v>201</v>
      </c>
      <c r="E150" s="104">
        <v>25.0</v>
      </c>
      <c r="F150" s="104">
        <v>58.0</v>
      </c>
      <c r="G150" s="110" t="s">
        <v>238</v>
      </c>
      <c r="H150" s="112">
        <v>45987.0</v>
      </c>
      <c r="I150" s="110" t="s">
        <v>508</v>
      </c>
      <c r="J150" s="104">
        <v>0.0</v>
      </c>
      <c r="K150" s="110" t="s">
        <v>589</v>
      </c>
      <c r="L150" s="110" t="s">
        <v>590</v>
      </c>
    </row>
    <row r="151">
      <c r="A151" s="110" t="s">
        <v>511</v>
      </c>
      <c r="B151" s="104">
        <v>0.0</v>
      </c>
      <c r="C151" s="110" t="s">
        <v>247</v>
      </c>
      <c r="D151" s="110" t="s">
        <v>210</v>
      </c>
      <c r="E151" s="104">
        <v>0.0</v>
      </c>
      <c r="F151" s="104">
        <v>0.0</v>
      </c>
      <c r="G151" s="104">
        <v>0.0</v>
      </c>
      <c r="H151" s="104" t="s">
        <v>232</v>
      </c>
      <c r="I151" s="104">
        <v>0.0</v>
      </c>
      <c r="J151" s="104">
        <v>0.0</v>
      </c>
      <c r="K151" s="110" t="s">
        <v>591</v>
      </c>
      <c r="L151" s="110" t="s">
        <v>592</v>
      </c>
    </row>
    <row r="152">
      <c r="A152" s="110" t="s">
        <v>513</v>
      </c>
      <c r="B152" s="104">
        <v>0.0</v>
      </c>
      <c r="C152" s="110" t="s">
        <v>261</v>
      </c>
      <c r="D152" s="110" t="s">
        <v>210</v>
      </c>
      <c r="E152" s="104">
        <v>0.0</v>
      </c>
      <c r="F152" s="104">
        <v>0.0</v>
      </c>
      <c r="G152" s="104">
        <v>0.0</v>
      </c>
      <c r="H152" s="112">
        <v>45917.0</v>
      </c>
      <c r="I152" s="110" t="s">
        <v>513</v>
      </c>
      <c r="J152" s="104">
        <v>0.0</v>
      </c>
      <c r="K152" s="110" t="s">
        <v>593</v>
      </c>
      <c r="L152" s="110" t="s">
        <v>594</v>
      </c>
    </row>
    <row r="153">
      <c r="A153" s="110" t="s">
        <v>515</v>
      </c>
      <c r="B153" s="104">
        <v>0.0</v>
      </c>
      <c r="C153" s="110" t="s">
        <v>331</v>
      </c>
      <c r="D153" s="110" t="s">
        <v>210</v>
      </c>
      <c r="E153" s="104">
        <v>0.0</v>
      </c>
      <c r="F153" s="104">
        <v>95.0</v>
      </c>
      <c r="G153" s="110" t="s">
        <v>238</v>
      </c>
      <c r="H153" s="112">
        <v>45917.0</v>
      </c>
      <c r="I153" s="110" t="s">
        <v>595</v>
      </c>
      <c r="J153" s="104">
        <v>0.0</v>
      </c>
      <c r="K153" s="110" t="s">
        <v>596</v>
      </c>
      <c r="L153" s="110" t="s">
        <v>597</v>
      </c>
    </row>
    <row r="154">
      <c r="A154" s="110" t="s">
        <v>517</v>
      </c>
      <c r="B154" s="104">
        <v>0.0</v>
      </c>
      <c r="C154" s="110" t="s">
        <v>209</v>
      </c>
      <c r="D154" s="110" t="s">
        <v>217</v>
      </c>
      <c r="E154" s="104">
        <v>0.0</v>
      </c>
      <c r="F154" s="104">
        <v>0.0</v>
      </c>
      <c r="G154" s="104">
        <v>0.0</v>
      </c>
      <c r="H154" s="104" t="s">
        <v>232</v>
      </c>
      <c r="I154" s="104">
        <v>0.0</v>
      </c>
      <c r="J154" s="104">
        <v>0.0</v>
      </c>
      <c r="K154" s="110" t="s">
        <v>598</v>
      </c>
      <c r="L154" s="110" t="s">
        <v>599</v>
      </c>
    </row>
    <row r="155">
      <c r="A155" s="110" t="s">
        <v>519</v>
      </c>
      <c r="B155" s="104">
        <v>0.0</v>
      </c>
      <c r="C155" s="110" t="s">
        <v>273</v>
      </c>
      <c r="D155" s="110" t="s">
        <v>210</v>
      </c>
      <c r="E155" s="104">
        <v>0.0</v>
      </c>
      <c r="F155" s="104">
        <v>10.0</v>
      </c>
      <c r="G155" s="110" t="s">
        <v>373</v>
      </c>
      <c r="H155" s="112">
        <v>45922.0</v>
      </c>
      <c r="I155" s="110" t="s">
        <v>519</v>
      </c>
      <c r="J155" s="104">
        <v>0.0</v>
      </c>
      <c r="K155" s="110" t="s">
        <v>600</v>
      </c>
      <c r="L155" s="110" t="s">
        <v>601</v>
      </c>
    </row>
    <row r="156">
      <c r="A156" s="110" t="s">
        <v>522</v>
      </c>
      <c r="B156" s="104">
        <v>0.0</v>
      </c>
      <c r="C156" s="110" t="s">
        <v>602</v>
      </c>
      <c r="D156" s="110" t="s">
        <v>226</v>
      </c>
      <c r="E156" s="104">
        <v>0.0</v>
      </c>
      <c r="F156" s="104">
        <v>72.75</v>
      </c>
      <c r="G156" s="110" t="s">
        <v>257</v>
      </c>
      <c r="H156" s="112">
        <v>45819.0</v>
      </c>
      <c r="I156" s="110" t="s">
        <v>603</v>
      </c>
      <c r="J156" s="104">
        <v>0.0</v>
      </c>
      <c r="K156" s="110" t="s">
        <v>604</v>
      </c>
      <c r="L156" s="110" t="s">
        <v>605</v>
      </c>
    </row>
    <row r="157">
      <c r="A157" s="110" t="s">
        <v>522</v>
      </c>
      <c r="B157" s="104">
        <v>0.0</v>
      </c>
      <c r="C157" s="110" t="s">
        <v>602</v>
      </c>
      <c r="D157" s="110" t="s">
        <v>226</v>
      </c>
      <c r="E157" s="104">
        <v>0.0</v>
      </c>
      <c r="F157" s="104">
        <v>48.68</v>
      </c>
      <c r="G157" s="110" t="s">
        <v>606</v>
      </c>
      <c r="H157" s="112">
        <v>45819.0</v>
      </c>
      <c r="I157" s="110" t="s">
        <v>603</v>
      </c>
      <c r="J157" s="104">
        <v>0.0</v>
      </c>
      <c r="K157" s="110" t="s">
        <v>604</v>
      </c>
      <c r="L157" s="110" t="s">
        <v>607</v>
      </c>
    </row>
    <row r="158">
      <c r="A158" s="110" t="s">
        <v>522</v>
      </c>
      <c r="B158" s="104">
        <v>0.0</v>
      </c>
      <c r="C158" s="110" t="s">
        <v>602</v>
      </c>
      <c r="D158" s="110" t="s">
        <v>226</v>
      </c>
      <c r="E158" s="104">
        <v>0.0</v>
      </c>
      <c r="F158" s="104">
        <v>31.61</v>
      </c>
      <c r="G158" s="110" t="s">
        <v>608</v>
      </c>
      <c r="H158" s="112">
        <v>45819.0</v>
      </c>
      <c r="I158" s="110" t="s">
        <v>603</v>
      </c>
      <c r="J158" s="104">
        <v>0.0</v>
      </c>
      <c r="K158" s="110" t="s">
        <v>604</v>
      </c>
      <c r="L158" s="110" t="s">
        <v>609</v>
      </c>
    </row>
    <row r="159">
      <c r="A159" s="110" t="s">
        <v>522</v>
      </c>
      <c r="B159" s="104">
        <v>0.0</v>
      </c>
      <c r="C159" s="110" t="s">
        <v>602</v>
      </c>
      <c r="D159" s="110" t="s">
        <v>226</v>
      </c>
      <c r="E159" s="104">
        <v>0.0</v>
      </c>
      <c r="F159" s="104">
        <v>29.56</v>
      </c>
      <c r="G159" s="110" t="s">
        <v>610</v>
      </c>
      <c r="H159" s="112">
        <v>45819.0</v>
      </c>
      <c r="I159" s="110" t="s">
        <v>603</v>
      </c>
      <c r="J159" s="104">
        <v>0.0</v>
      </c>
      <c r="K159" s="110" t="s">
        <v>604</v>
      </c>
      <c r="L159" s="110" t="s">
        <v>611</v>
      </c>
    </row>
    <row r="160">
      <c r="A160" s="110" t="s">
        <v>524</v>
      </c>
      <c r="B160" s="104">
        <v>0.0</v>
      </c>
      <c r="C160" s="110" t="s">
        <v>344</v>
      </c>
      <c r="D160" s="110" t="s">
        <v>612</v>
      </c>
      <c r="E160" s="104">
        <v>0.0</v>
      </c>
      <c r="F160" s="104">
        <v>2.15</v>
      </c>
      <c r="G160" s="110" t="s">
        <v>613</v>
      </c>
      <c r="H160" s="112">
        <v>45863.0</v>
      </c>
      <c r="I160" s="110" t="s">
        <v>524</v>
      </c>
      <c r="J160" s="104">
        <v>0.0</v>
      </c>
      <c r="K160" s="110" t="s">
        <v>614</v>
      </c>
      <c r="L160" s="110" t="s">
        <v>615</v>
      </c>
    </row>
    <row r="161">
      <c r="A161" s="110" t="s">
        <v>524</v>
      </c>
      <c r="B161" s="104">
        <v>0.0</v>
      </c>
      <c r="C161" s="110" t="s">
        <v>221</v>
      </c>
      <c r="D161" s="104">
        <v>0.0</v>
      </c>
      <c r="E161" s="104">
        <v>0.0</v>
      </c>
      <c r="F161" s="104">
        <v>1.98</v>
      </c>
      <c r="G161" s="110" t="s">
        <v>257</v>
      </c>
      <c r="H161" s="112">
        <v>45807.0</v>
      </c>
      <c r="I161" s="110" t="s">
        <v>524</v>
      </c>
      <c r="J161" s="104">
        <v>0.0</v>
      </c>
      <c r="K161" s="110" t="s">
        <v>616</v>
      </c>
      <c r="L161" s="110" t="s">
        <v>617</v>
      </c>
    </row>
    <row r="162">
      <c r="A162" s="110" t="s">
        <v>524</v>
      </c>
      <c r="B162" s="104">
        <v>0.0</v>
      </c>
      <c r="C162" s="110" t="s">
        <v>618</v>
      </c>
      <c r="D162" s="110" t="s">
        <v>612</v>
      </c>
      <c r="E162" s="104">
        <v>0.0</v>
      </c>
      <c r="F162" s="104">
        <v>3.68</v>
      </c>
      <c r="G162" s="110" t="s">
        <v>334</v>
      </c>
      <c r="H162" s="112">
        <v>45870.0</v>
      </c>
      <c r="I162" s="110" t="s">
        <v>524</v>
      </c>
      <c r="J162" s="104">
        <v>0.0</v>
      </c>
      <c r="K162" s="110" t="s">
        <v>619</v>
      </c>
      <c r="L162" s="110" t="s">
        <v>620</v>
      </c>
    </row>
    <row r="163">
      <c r="A163" s="110" t="s">
        <v>524</v>
      </c>
      <c r="B163" s="104">
        <v>0.0</v>
      </c>
      <c r="C163" s="110" t="s">
        <v>200</v>
      </c>
      <c r="D163" s="110" t="s">
        <v>612</v>
      </c>
      <c r="E163" s="104">
        <v>0.0</v>
      </c>
      <c r="F163" s="104">
        <v>2.98</v>
      </c>
      <c r="G163" s="104">
        <v>0.0</v>
      </c>
      <c r="H163" s="112">
        <v>45868.0</v>
      </c>
      <c r="I163" s="110" t="s">
        <v>524</v>
      </c>
      <c r="J163" s="104">
        <v>0.0</v>
      </c>
      <c r="K163" s="110" t="s">
        <v>621</v>
      </c>
      <c r="L163" s="110" t="s">
        <v>622</v>
      </c>
    </row>
    <row r="164">
      <c r="A164" s="110" t="s">
        <v>526</v>
      </c>
      <c r="B164" s="104">
        <v>0.0</v>
      </c>
      <c r="C164" s="110" t="s">
        <v>221</v>
      </c>
      <c r="D164" s="110" t="s">
        <v>226</v>
      </c>
      <c r="E164" s="104">
        <v>0.0</v>
      </c>
      <c r="F164" s="104">
        <v>1.98</v>
      </c>
      <c r="G164" s="110" t="s">
        <v>328</v>
      </c>
      <c r="H164" s="112">
        <v>45854.0</v>
      </c>
      <c r="I164" s="104">
        <v>0.0</v>
      </c>
      <c r="J164" s="104">
        <v>0.0</v>
      </c>
      <c r="K164" s="110" t="s">
        <v>623</v>
      </c>
      <c r="L164" s="110" t="s">
        <v>624</v>
      </c>
    </row>
    <row r="165">
      <c r="A165" s="110" t="s">
        <v>528</v>
      </c>
      <c r="B165" s="104">
        <v>0.0</v>
      </c>
      <c r="C165" s="110" t="s">
        <v>562</v>
      </c>
      <c r="D165" s="110" t="s">
        <v>612</v>
      </c>
      <c r="E165" s="104">
        <v>0.0</v>
      </c>
      <c r="F165" s="104">
        <v>6.0</v>
      </c>
      <c r="G165" s="110" t="s">
        <v>625</v>
      </c>
      <c r="H165" s="112">
        <v>45863.0</v>
      </c>
      <c r="I165" s="110" t="s">
        <v>528</v>
      </c>
      <c r="J165" s="104">
        <v>0.0</v>
      </c>
      <c r="K165" s="110" t="s">
        <v>626</v>
      </c>
      <c r="L165" s="110" t="s">
        <v>627</v>
      </c>
    </row>
    <row r="166">
      <c r="A166" s="110" t="s">
        <v>528</v>
      </c>
      <c r="B166" s="104">
        <v>0.0</v>
      </c>
      <c r="C166" s="110" t="s">
        <v>200</v>
      </c>
      <c r="D166" s="104">
        <v>0.0</v>
      </c>
      <c r="E166" s="104">
        <v>0.0</v>
      </c>
      <c r="F166" s="104">
        <v>17.0</v>
      </c>
      <c r="G166" s="104">
        <v>0.0</v>
      </c>
      <c r="H166" s="112">
        <v>45818.0</v>
      </c>
      <c r="I166" s="104">
        <v>0.0</v>
      </c>
      <c r="J166" s="104">
        <v>0.0</v>
      </c>
      <c r="K166" s="110" t="s">
        <v>628</v>
      </c>
      <c r="L166" s="110" t="s">
        <v>629</v>
      </c>
    </row>
    <row r="167">
      <c r="A167" s="110" t="s">
        <v>530</v>
      </c>
      <c r="B167" s="104">
        <v>0.0</v>
      </c>
      <c r="C167" s="110" t="s">
        <v>344</v>
      </c>
      <c r="D167" s="110" t="s">
        <v>612</v>
      </c>
      <c r="E167" s="104">
        <v>0.0</v>
      </c>
      <c r="F167" s="104">
        <v>8.5</v>
      </c>
      <c r="G167" s="110" t="s">
        <v>238</v>
      </c>
      <c r="H167" s="112">
        <v>45863.0</v>
      </c>
      <c r="I167" s="104">
        <v>0.0</v>
      </c>
      <c r="J167" s="104">
        <v>0.0</v>
      </c>
      <c r="K167" s="110" t="s">
        <v>630</v>
      </c>
      <c r="L167" s="110" t="s">
        <v>631</v>
      </c>
    </row>
    <row r="168">
      <c r="A168" s="110" t="s">
        <v>532</v>
      </c>
      <c r="B168" s="104">
        <v>0.0</v>
      </c>
      <c r="C168" s="110" t="s">
        <v>632</v>
      </c>
      <c r="D168" s="110" t="s">
        <v>267</v>
      </c>
      <c r="E168" s="104">
        <v>0.0</v>
      </c>
      <c r="F168" s="104">
        <v>0.0</v>
      </c>
      <c r="G168" s="104">
        <v>0.0</v>
      </c>
      <c r="H168" s="104" t="s">
        <v>232</v>
      </c>
      <c r="I168" s="104">
        <v>0.0</v>
      </c>
      <c r="J168" s="104">
        <v>0.0</v>
      </c>
      <c r="K168" s="110" t="s">
        <v>633</v>
      </c>
      <c r="L168" s="110" t="s">
        <v>634</v>
      </c>
    </row>
    <row r="169">
      <c r="A169" s="110" t="s">
        <v>534</v>
      </c>
      <c r="B169" s="104">
        <v>0.0</v>
      </c>
      <c r="C169" s="110" t="s">
        <v>209</v>
      </c>
      <c r="D169" s="110" t="s">
        <v>217</v>
      </c>
      <c r="E169" s="104">
        <v>0.0</v>
      </c>
      <c r="F169" s="104">
        <v>0.0</v>
      </c>
      <c r="G169" s="104">
        <v>0.0</v>
      </c>
      <c r="H169" s="104" t="s">
        <v>232</v>
      </c>
      <c r="I169" s="104">
        <v>0.0</v>
      </c>
      <c r="J169" s="104">
        <v>0.0</v>
      </c>
      <c r="K169" s="110" t="s">
        <v>635</v>
      </c>
      <c r="L169" s="110" t="s">
        <v>636</v>
      </c>
    </row>
    <row r="170">
      <c r="A170" s="110" t="s">
        <v>537</v>
      </c>
      <c r="B170" s="104">
        <v>0.0</v>
      </c>
      <c r="C170" s="110" t="s">
        <v>331</v>
      </c>
      <c r="D170" s="110" t="s">
        <v>210</v>
      </c>
      <c r="E170" s="104">
        <v>0.0</v>
      </c>
      <c r="F170" s="104">
        <v>17.0</v>
      </c>
      <c r="G170" s="110" t="s">
        <v>218</v>
      </c>
      <c r="H170" s="112">
        <v>45848.0</v>
      </c>
      <c r="I170" s="110" t="s">
        <v>537</v>
      </c>
      <c r="J170" s="104">
        <v>0.0</v>
      </c>
      <c r="K170" s="110" t="s">
        <v>637</v>
      </c>
      <c r="L170" s="110" t="s">
        <v>638</v>
      </c>
    </row>
    <row r="171">
      <c r="A171" s="110" t="s">
        <v>539</v>
      </c>
      <c r="B171" s="104">
        <v>0.0</v>
      </c>
      <c r="C171" s="110" t="s">
        <v>209</v>
      </c>
      <c r="D171" s="110" t="s">
        <v>217</v>
      </c>
      <c r="E171" s="104">
        <v>0.0</v>
      </c>
      <c r="F171" s="104">
        <v>0.0</v>
      </c>
      <c r="G171" s="104">
        <v>0.0</v>
      </c>
      <c r="H171" s="104" t="s">
        <v>232</v>
      </c>
      <c r="I171" s="104">
        <v>0.0</v>
      </c>
      <c r="J171" s="104">
        <v>0.0</v>
      </c>
      <c r="K171" s="110" t="s">
        <v>639</v>
      </c>
      <c r="L171" s="110" t="s">
        <v>640</v>
      </c>
    </row>
    <row r="172">
      <c r="A172" s="110" t="s">
        <v>542</v>
      </c>
      <c r="B172" s="104">
        <v>0.0</v>
      </c>
      <c r="C172" s="110" t="s">
        <v>456</v>
      </c>
      <c r="D172" s="110" t="s">
        <v>217</v>
      </c>
      <c r="E172" s="104">
        <v>0.0</v>
      </c>
      <c r="F172" s="104">
        <v>255.4</v>
      </c>
      <c r="G172" s="110" t="s">
        <v>457</v>
      </c>
      <c r="H172" s="112">
        <v>45825.0</v>
      </c>
      <c r="I172" s="104">
        <v>0.0</v>
      </c>
      <c r="J172" s="104">
        <v>0.0</v>
      </c>
      <c r="K172" s="110" t="s">
        <v>641</v>
      </c>
      <c r="L172" s="110" t="s">
        <v>642</v>
      </c>
    </row>
    <row r="173">
      <c r="A173" s="110" t="s">
        <v>546</v>
      </c>
      <c r="B173" s="104">
        <v>0.0</v>
      </c>
      <c r="C173" s="110" t="s">
        <v>535</v>
      </c>
      <c r="D173" s="110" t="s">
        <v>322</v>
      </c>
      <c r="E173" s="104">
        <v>0.0</v>
      </c>
      <c r="F173" s="104">
        <v>40.0</v>
      </c>
      <c r="G173" s="110" t="s">
        <v>334</v>
      </c>
      <c r="H173" s="112">
        <v>45876.0</v>
      </c>
      <c r="I173" s="104">
        <v>0.0</v>
      </c>
      <c r="J173" s="104">
        <v>0.0</v>
      </c>
      <c r="K173" s="110" t="s">
        <v>643</v>
      </c>
      <c r="L173" s="110" t="s">
        <v>644</v>
      </c>
    </row>
    <row r="174">
      <c r="A174" s="110" t="s">
        <v>548</v>
      </c>
      <c r="B174" s="104">
        <v>0.0</v>
      </c>
      <c r="C174" s="110" t="s">
        <v>535</v>
      </c>
      <c r="D174" s="110" t="s">
        <v>322</v>
      </c>
      <c r="E174" s="104">
        <v>0.0</v>
      </c>
      <c r="F174" s="104">
        <v>45.0</v>
      </c>
      <c r="G174" s="110" t="s">
        <v>238</v>
      </c>
      <c r="H174" s="112">
        <v>45876.0</v>
      </c>
      <c r="I174" s="104">
        <v>0.0</v>
      </c>
      <c r="J174" s="104">
        <v>0.0</v>
      </c>
      <c r="K174" s="110" t="s">
        <v>645</v>
      </c>
      <c r="L174" s="110" t="s">
        <v>646</v>
      </c>
    </row>
    <row r="175">
      <c r="A175" s="110" t="s">
        <v>550</v>
      </c>
      <c r="B175" s="104">
        <v>0.0</v>
      </c>
      <c r="C175" s="110" t="s">
        <v>618</v>
      </c>
      <c r="D175" s="110" t="s">
        <v>217</v>
      </c>
      <c r="E175" s="104">
        <v>0.0</v>
      </c>
      <c r="F175" s="104">
        <v>6.96</v>
      </c>
      <c r="G175" s="110" t="s">
        <v>373</v>
      </c>
      <c r="H175" s="112">
        <v>45698.0</v>
      </c>
      <c r="I175" s="110" t="s">
        <v>550</v>
      </c>
      <c r="J175" s="104">
        <v>0.0</v>
      </c>
      <c r="K175" s="110" t="s">
        <v>647</v>
      </c>
      <c r="L175" s="110" t="s">
        <v>648</v>
      </c>
    </row>
    <row r="176">
      <c r="A176" s="110" t="s">
        <v>550</v>
      </c>
      <c r="B176" s="104">
        <v>0.0</v>
      </c>
      <c r="C176" s="110" t="s">
        <v>209</v>
      </c>
      <c r="D176" s="110" t="s">
        <v>217</v>
      </c>
      <c r="E176" s="104">
        <v>0.0</v>
      </c>
      <c r="F176" s="104">
        <v>8.0</v>
      </c>
      <c r="G176" s="110" t="s">
        <v>334</v>
      </c>
      <c r="H176" s="112">
        <v>45698.0</v>
      </c>
      <c r="I176" s="110" t="s">
        <v>550</v>
      </c>
      <c r="J176" s="104">
        <v>0.0</v>
      </c>
      <c r="K176" s="110" t="s">
        <v>649</v>
      </c>
      <c r="L176" s="110" t="s">
        <v>650</v>
      </c>
    </row>
    <row r="177">
      <c r="A177" s="110" t="s">
        <v>554</v>
      </c>
      <c r="B177" s="104">
        <v>0.0</v>
      </c>
      <c r="C177" s="110" t="s">
        <v>261</v>
      </c>
      <c r="D177" s="110" t="s">
        <v>217</v>
      </c>
      <c r="E177" s="104">
        <v>0.0</v>
      </c>
      <c r="F177" s="104">
        <v>12.75</v>
      </c>
      <c r="G177" s="110" t="s">
        <v>334</v>
      </c>
      <c r="H177" s="112">
        <v>45695.0</v>
      </c>
      <c r="I177" s="110" t="s">
        <v>554</v>
      </c>
      <c r="J177" s="104">
        <v>0.0</v>
      </c>
      <c r="K177" s="110" t="s">
        <v>651</v>
      </c>
      <c r="L177" s="110" t="s">
        <v>652</v>
      </c>
    </row>
    <row r="178">
      <c r="A178" s="110" t="s">
        <v>556</v>
      </c>
      <c r="B178" s="104">
        <v>0.0</v>
      </c>
      <c r="C178" s="110" t="s">
        <v>456</v>
      </c>
      <c r="D178" s="110" t="s">
        <v>217</v>
      </c>
      <c r="E178" s="104">
        <v>0.0</v>
      </c>
      <c r="F178" s="104">
        <v>137.7</v>
      </c>
      <c r="G178" s="110" t="s">
        <v>457</v>
      </c>
      <c r="H178" s="112">
        <v>45825.0</v>
      </c>
      <c r="I178" s="104">
        <v>0.0</v>
      </c>
      <c r="J178" s="104">
        <v>0.0</v>
      </c>
      <c r="K178" s="110" t="s">
        <v>653</v>
      </c>
      <c r="L178" s="110" t="s">
        <v>654</v>
      </c>
    </row>
    <row r="179">
      <c r="A179" s="110" t="s">
        <v>559</v>
      </c>
      <c r="B179" s="104">
        <v>0.0</v>
      </c>
      <c r="C179" s="110" t="s">
        <v>450</v>
      </c>
      <c r="D179" s="110" t="s">
        <v>201</v>
      </c>
      <c r="E179" s="104">
        <v>0.0</v>
      </c>
      <c r="F179" s="104">
        <v>0.0</v>
      </c>
      <c r="G179" s="104">
        <v>0.0</v>
      </c>
      <c r="H179" s="104" t="s">
        <v>232</v>
      </c>
      <c r="I179" s="104">
        <v>0.0</v>
      </c>
      <c r="J179" s="104">
        <v>0.0</v>
      </c>
      <c r="K179" s="110" t="s">
        <v>655</v>
      </c>
      <c r="L179" s="110" t="s">
        <v>656</v>
      </c>
    </row>
    <row r="180">
      <c r="A180" s="110" t="s">
        <v>561</v>
      </c>
      <c r="B180" s="104">
        <v>0.0</v>
      </c>
      <c r="C180" s="110" t="s">
        <v>657</v>
      </c>
      <c r="D180" s="110" t="s">
        <v>217</v>
      </c>
      <c r="E180" s="104">
        <v>0.0</v>
      </c>
      <c r="F180" s="104">
        <v>0.0</v>
      </c>
      <c r="G180" s="110" t="s">
        <v>658</v>
      </c>
      <c r="H180" s="112">
        <v>45825.0</v>
      </c>
      <c r="I180" s="104">
        <v>0.0</v>
      </c>
      <c r="J180" s="104">
        <v>0.0</v>
      </c>
      <c r="K180" s="110" t="s">
        <v>659</v>
      </c>
      <c r="L180" s="110" t="s">
        <v>660</v>
      </c>
    </row>
    <row r="181">
      <c r="A181" s="110" t="s">
        <v>565</v>
      </c>
      <c r="B181" s="104">
        <v>0.0</v>
      </c>
      <c r="C181" s="110" t="s">
        <v>657</v>
      </c>
      <c r="D181" s="110" t="s">
        <v>217</v>
      </c>
      <c r="E181" s="104">
        <v>0.0</v>
      </c>
      <c r="F181" s="104">
        <v>0.0</v>
      </c>
      <c r="G181" s="110" t="s">
        <v>238</v>
      </c>
      <c r="H181" s="112">
        <v>45825.0</v>
      </c>
      <c r="I181" s="104">
        <v>0.0</v>
      </c>
      <c r="J181" s="104">
        <v>0.0</v>
      </c>
      <c r="K181" s="110" t="s">
        <v>661</v>
      </c>
      <c r="L181" s="110" t="s">
        <v>662</v>
      </c>
    </row>
    <row r="182">
      <c r="A182" s="110" t="s">
        <v>567</v>
      </c>
      <c r="B182" s="104">
        <v>0.0</v>
      </c>
      <c r="C182" s="110" t="s">
        <v>261</v>
      </c>
      <c r="D182" s="110" t="s">
        <v>217</v>
      </c>
      <c r="E182" s="104">
        <v>0.0</v>
      </c>
      <c r="F182" s="104">
        <v>2.5</v>
      </c>
      <c r="G182" s="110" t="s">
        <v>663</v>
      </c>
      <c r="H182" s="112">
        <v>45846.0</v>
      </c>
      <c r="I182" s="110" t="s">
        <v>664</v>
      </c>
      <c r="J182" s="104">
        <v>0.0</v>
      </c>
      <c r="K182" s="110" t="s">
        <v>665</v>
      </c>
      <c r="L182" s="110" t="s">
        <v>666</v>
      </c>
    </row>
    <row r="183">
      <c r="A183" s="110" t="s">
        <v>569</v>
      </c>
      <c r="B183" s="104">
        <v>0.0</v>
      </c>
      <c r="C183" s="110" t="s">
        <v>337</v>
      </c>
      <c r="D183" s="110" t="s">
        <v>612</v>
      </c>
      <c r="E183" s="104">
        <v>0.0</v>
      </c>
      <c r="F183" s="104">
        <v>29.5</v>
      </c>
      <c r="G183" s="110" t="s">
        <v>238</v>
      </c>
      <c r="H183" s="112">
        <v>45937.0</v>
      </c>
      <c r="I183" s="104">
        <v>0.0</v>
      </c>
      <c r="J183" s="104">
        <v>0.0</v>
      </c>
      <c r="K183" s="110" t="s">
        <v>667</v>
      </c>
      <c r="L183" s="110" t="s">
        <v>668</v>
      </c>
    </row>
    <row r="184">
      <c r="A184" s="110" t="s">
        <v>569</v>
      </c>
      <c r="B184" s="104">
        <v>0.0</v>
      </c>
      <c r="C184" s="110" t="s">
        <v>337</v>
      </c>
      <c r="D184" s="110" t="s">
        <v>612</v>
      </c>
      <c r="E184" s="104">
        <v>0.0</v>
      </c>
      <c r="F184" s="104">
        <v>28.5</v>
      </c>
      <c r="G184" s="110" t="s">
        <v>334</v>
      </c>
      <c r="H184" s="112">
        <v>45937.0</v>
      </c>
      <c r="I184" s="104">
        <v>0.0</v>
      </c>
      <c r="J184" s="104">
        <v>0.0</v>
      </c>
      <c r="K184" s="110" t="s">
        <v>667</v>
      </c>
      <c r="L184" s="110" t="s">
        <v>669</v>
      </c>
    </row>
    <row r="185">
      <c r="A185" s="110" t="s">
        <v>569</v>
      </c>
      <c r="B185" s="104">
        <v>0.0</v>
      </c>
      <c r="C185" s="110" t="s">
        <v>337</v>
      </c>
      <c r="D185" s="110" t="s">
        <v>612</v>
      </c>
      <c r="E185" s="104">
        <v>0.0</v>
      </c>
      <c r="F185" s="104">
        <v>26.5</v>
      </c>
      <c r="G185" s="110" t="s">
        <v>373</v>
      </c>
      <c r="H185" s="112">
        <v>45937.0</v>
      </c>
      <c r="I185" s="104">
        <v>0.0</v>
      </c>
      <c r="J185" s="104">
        <v>0.0</v>
      </c>
      <c r="K185" s="110" t="s">
        <v>667</v>
      </c>
      <c r="L185" s="110" t="s">
        <v>670</v>
      </c>
    </row>
    <row r="186">
      <c r="A186" s="110" t="s">
        <v>571</v>
      </c>
      <c r="B186" s="104">
        <v>0.0</v>
      </c>
      <c r="C186" s="110" t="s">
        <v>657</v>
      </c>
      <c r="D186" s="110" t="s">
        <v>217</v>
      </c>
      <c r="E186" s="104">
        <v>0.0</v>
      </c>
      <c r="F186" s="104">
        <v>0.0</v>
      </c>
      <c r="G186" s="110" t="s">
        <v>238</v>
      </c>
      <c r="H186" s="112">
        <v>45825.0</v>
      </c>
      <c r="I186" s="104">
        <v>0.0</v>
      </c>
      <c r="J186" s="104">
        <v>0.0</v>
      </c>
      <c r="K186" s="110" t="s">
        <v>671</v>
      </c>
      <c r="L186" s="110" t="s">
        <v>672</v>
      </c>
    </row>
    <row r="187">
      <c r="A187" s="110" t="s">
        <v>575</v>
      </c>
      <c r="B187" s="104">
        <v>0.0</v>
      </c>
      <c r="C187" s="110" t="s">
        <v>657</v>
      </c>
      <c r="D187" s="110" t="s">
        <v>217</v>
      </c>
      <c r="E187" s="104">
        <v>0.0</v>
      </c>
      <c r="F187" s="104">
        <v>0.0</v>
      </c>
      <c r="G187" s="110" t="s">
        <v>238</v>
      </c>
      <c r="H187" s="112">
        <v>45825.0</v>
      </c>
      <c r="I187" s="104">
        <v>0.0</v>
      </c>
      <c r="J187" s="104">
        <v>0.0</v>
      </c>
      <c r="K187" s="110" t="s">
        <v>673</v>
      </c>
      <c r="L187" s="110" t="s">
        <v>674</v>
      </c>
    </row>
    <row r="188">
      <c r="A188" s="110" t="s">
        <v>577</v>
      </c>
      <c r="B188" s="104">
        <v>0.0</v>
      </c>
      <c r="C188" s="110" t="s">
        <v>337</v>
      </c>
      <c r="D188" s="110" t="s">
        <v>217</v>
      </c>
      <c r="E188" s="104">
        <v>0.0</v>
      </c>
      <c r="F188" s="104">
        <v>17.5</v>
      </c>
      <c r="G188" s="110" t="s">
        <v>238</v>
      </c>
      <c r="H188" s="112">
        <v>45603.0</v>
      </c>
      <c r="I188" s="104">
        <v>0.0</v>
      </c>
      <c r="J188" s="104">
        <v>0.0</v>
      </c>
      <c r="K188" s="110" t="s">
        <v>675</v>
      </c>
      <c r="L188" s="110" t="s">
        <v>676</v>
      </c>
    </row>
    <row r="189">
      <c r="A189" s="110" t="s">
        <v>579</v>
      </c>
      <c r="B189" s="104">
        <v>0.0</v>
      </c>
      <c r="C189" s="110" t="s">
        <v>209</v>
      </c>
      <c r="D189" s="110" t="s">
        <v>217</v>
      </c>
      <c r="E189" s="104">
        <v>0.0</v>
      </c>
      <c r="F189" s="104">
        <v>0.0</v>
      </c>
      <c r="G189" s="104">
        <v>0.0</v>
      </c>
      <c r="H189" s="104" t="s">
        <v>232</v>
      </c>
      <c r="I189" s="104">
        <v>0.0</v>
      </c>
      <c r="J189" s="104">
        <v>0.0</v>
      </c>
      <c r="K189" s="110" t="s">
        <v>677</v>
      </c>
      <c r="L189" s="110" t="s">
        <v>678</v>
      </c>
    </row>
    <row r="190">
      <c r="A190" s="110" t="s">
        <v>581</v>
      </c>
      <c r="B190" s="104">
        <v>0.0</v>
      </c>
      <c r="C190" s="110" t="s">
        <v>209</v>
      </c>
      <c r="D190" s="110" t="s">
        <v>217</v>
      </c>
      <c r="E190" s="104">
        <v>0.0</v>
      </c>
      <c r="F190" s="104">
        <v>0.0</v>
      </c>
      <c r="G190" s="104">
        <v>0.0</v>
      </c>
      <c r="H190" s="104" t="s">
        <v>232</v>
      </c>
      <c r="I190" s="104">
        <v>0.0</v>
      </c>
      <c r="J190" s="104">
        <v>0.0</v>
      </c>
      <c r="K190" s="110" t="s">
        <v>679</v>
      </c>
      <c r="L190" s="110" t="s">
        <v>680</v>
      </c>
    </row>
    <row r="191">
      <c r="A191" s="110" t="s">
        <v>583</v>
      </c>
      <c r="B191" s="104">
        <v>0.0</v>
      </c>
      <c r="C191" s="110" t="s">
        <v>337</v>
      </c>
      <c r="D191" s="110" t="s">
        <v>217</v>
      </c>
      <c r="E191" s="104">
        <v>0.0</v>
      </c>
      <c r="F191" s="104">
        <v>2200.0</v>
      </c>
      <c r="G191" s="110" t="s">
        <v>211</v>
      </c>
      <c r="H191" s="112">
        <v>45883.0</v>
      </c>
      <c r="I191" s="110" t="s">
        <v>583</v>
      </c>
      <c r="J191" s="104">
        <v>0.0</v>
      </c>
      <c r="K191" s="110" t="s">
        <v>681</v>
      </c>
      <c r="L191" s="110" t="s">
        <v>682</v>
      </c>
    </row>
    <row r="192">
      <c r="A192" s="110" t="s">
        <v>585</v>
      </c>
      <c r="B192" s="104">
        <v>0.0</v>
      </c>
      <c r="C192" s="110" t="s">
        <v>261</v>
      </c>
      <c r="D192" s="110" t="s">
        <v>322</v>
      </c>
      <c r="E192" s="104">
        <v>0.0</v>
      </c>
      <c r="F192" s="104">
        <v>35.0</v>
      </c>
      <c r="G192" s="110" t="s">
        <v>238</v>
      </c>
      <c r="H192" s="112">
        <v>45806.0</v>
      </c>
      <c r="I192" s="110" t="s">
        <v>585</v>
      </c>
      <c r="J192" s="104">
        <v>0.0</v>
      </c>
      <c r="K192" s="110" t="s">
        <v>683</v>
      </c>
      <c r="L192" s="110" t="s">
        <v>684</v>
      </c>
    </row>
    <row r="193">
      <c r="A193" s="110" t="s">
        <v>585</v>
      </c>
      <c r="B193" s="104">
        <v>0.0</v>
      </c>
      <c r="C193" s="110" t="s">
        <v>261</v>
      </c>
      <c r="D193" s="110" t="s">
        <v>322</v>
      </c>
      <c r="E193" s="104">
        <v>0.0</v>
      </c>
      <c r="F193" s="104">
        <v>16.77</v>
      </c>
      <c r="G193" s="110" t="s">
        <v>334</v>
      </c>
      <c r="H193" s="112">
        <v>45909.0</v>
      </c>
      <c r="I193" s="110" t="s">
        <v>585</v>
      </c>
      <c r="J193" s="104">
        <v>0.0</v>
      </c>
      <c r="K193" s="110" t="s">
        <v>683</v>
      </c>
      <c r="L193" s="110" t="s">
        <v>685</v>
      </c>
    </row>
    <row r="194">
      <c r="A194" s="110" t="s">
        <v>585</v>
      </c>
      <c r="B194" s="104">
        <v>0.0</v>
      </c>
      <c r="C194" s="110" t="s">
        <v>261</v>
      </c>
      <c r="D194" s="110" t="s">
        <v>322</v>
      </c>
      <c r="E194" s="104">
        <v>0.0</v>
      </c>
      <c r="F194" s="104">
        <v>14.15</v>
      </c>
      <c r="G194" s="110" t="s">
        <v>373</v>
      </c>
      <c r="H194" s="112">
        <v>45921.0</v>
      </c>
      <c r="I194" s="110" t="s">
        <v>585</v>
      </c>
      <c r="J194" s="104">
        <v>0.0</v>
      </c>
      <c r="K194" s="110" t="s">
        <v>683</v>
      </c>
      <c r="L194" s="110" t="s">
        <v>686</v>
      </c>
    </row>
    <row r="195">
      <c r="A195" s="110" t="s">
        <v>585</v>
      </c>
      <c r="B195" s="104">
        <v>0.0</v>
      </c>
      <c r="C195" s="110" t="s">
        <v>261</v>
      </c>
      <c r="D195" s="110" t="s">
        <v>322</v>
      </c>
      <c r="E195" s="104">
        <v>0.0</v>
      </c>
      <c r="F195" s="104">
        <v>13.1</v>
      </c>
      <c r="G195" s="110" t="s">
        <v>268</v>
      </c>
      <c r="H195" s="112">
        <v>45806.0</v>
      </c>
      <c r="I195" s="110" t="s">
        <v>585</v>
      </c>
      <c r="J195" s="104">
        <v>0.0</v>
      </c>
      <c r="K195" s="110" t="s">
        <v>683</v>
      </c>
      <c r="L195" s="110" t="s">
        <v>687</v>
      </c>
    </row>
    <row r="196">
      <c r="A196" s="110" t="s">
        <v>585</v>
      </c>
      <c r="B196" s="104">
        <v>0.0</v>
      </c>
      <c r="C196" s="110" t="s">
        <v>261</v>
      </c>
      <c r="D196" s="110" t="s">
        <v>322</v>
      </c>
      <c r="E196" s="104">
        <v>0.0</v>
      </c>
      <c r="F196" s="104">
        <v>12.6</v>
      </c>
      <c r="G196" s="110" t="s">
        <v>688</v>
      </c>
      <c r="H196" s="112">
        <v>45806.0</v>
      </c>
      <c r="I196" s="110" t="s">
        <v>585</v>
      </c>
      <c r="J196" s="104">
        <v>0.0</v>
      </c>
      <c r="K196" s="110" t="s">
        <v>683</v>
      </c>
      <c r="L196" s="110" t="s">
        <v>689</v>
      </c>
    </row>
    <row r="197">
      <c r="A197" s="110" t="s">
        <v>587</v>
      </c>
      <c r="B197" s="110" t="s">
        <v>690</v>
      </c>
      <c r="C197" s="110" t="s">
        <v>261</v>
      </c>
      <c r="D197" s="110" t="s">
        <v>322</v>
      </c>
      <c r="E197" s="104">
        <v>0.0</v>
      </c>
      <c r="F197" s="104">
        <v>0.0</v>
      </c>
      <c r="G197" s="104">
        <v>0.0</v>
      </c>
      <c r="H197" s="104" t="s">
        <v>232</v>
      </c>
      <c r="I197" s="104">
        <v>0.0</v>
      </c>
      <c r="J197" s="104">
        <v>0.0</v>
      </c>
      <c r="K197" s="110" t="s">
        <v>691</v>
      </c>
      <c r="L197" s="110" t="s">
        <v>692</v>
      </c>
    </row>
    <row r="198">
      <c r="A198" s="110" t="s">
        <v>590</v>
      </c>
      <c r="B198" s="104">
        <v>0.0</v>
      </c>
      <c r="C198" s="110" t="s">
        <v>337</v>
      </c>
      <c r="D198" s="110" t="s">
        <v>217</v>
      </c>
      <c r="E198" s="104">
        <v>0.0</v>
      </c>
      <c r="F198" s="104">
        <v>19.5</v>
      </c>
      <c r="G198" s="110" t="s">
        <v>238</v>
      </c>
      <c r="H198" s="112">
        <v>45636.0</v>
      </c>
      <c r="I198" s="110" t="s">
        <v>590</v>
      </c>
      <c r="J198" s="104">
        <v>0.0</v>
      </c>
      <c r="K198" s="110" t="s">
        <v>693</v>
      </c>
      <c r="L198" s="110" t="s">
        <v>694</v>
      </c>
    </row>
    <row r="199">
      <c r="A199" s="110" t="s">
        <v>592</v>
      </c>
      <c r="B199" s="104">
        <v>0.0</v>
      </c>
      <c r="C199" s="110" t="s">
        <v>200</v>
      </c>
      <c r="D199" s="110" t="s">
        <v>322</v>
      </c>
      <c r="E199" s="104">
        <v>0.0</v>
      </c>
      <c r="F199" s="104">
        <v>8.0</v>
      </c>
      <c r="G199" s="110" t="s">
        <v>238</v>
      </c>
      <c r="H199" s="112">
        <v>45847.0</v>
      </c>
      <c r="I199" s="110" t="s">
        <v>592</v>
      </c>
      <c r="J199" s="104">
        <v>0.0</v>
      </c>
      <c r="K199" s="110" t="s">
        <v>695</v>
      </c>
      <c r="L199" s="110" t="s">
        <v>696</v>
      </c>
    </row>
    <row r="200">
      <c r="A200" s="110" t="s">
        <v>594</v>
      </c>
      <c r="B200" s="104">
        <v>0.0</v>
      </c>
      <c r="C200" s="110" t="s">
        <v>209</v>
      </c>
      <c r="D200" s="110" t="s">
        <v>217</v>
      </c>
      <c r="E200" s="104">
        <v>0.0</v>
      </c>
      <c r="F200" s="104">
        <v>0.0</v>
      </c>
      <c r="G200" s="104">
        <v>0.0</v>
      </c>
      <c r="H200" s="104" t="s">
        <v>232</v>
      </c>
      <c r="I200" s="104">
        <v>0.0</v>
      </c>
      <c r="J200" s="104">
        <v>0.0</v>
      </c>
      <c r="K200" s="110" t="s">
        <v>697</v>
      </c>
      <c r="L200" s="110" t="s">
        <v>698</v>
      </c>
    </row>
    <row r="201">
      <c r="A201" s="110" t="s">
        <v>597</v>
      </c>
      <c r="B201" s="104">
        <v>0.0</v>
      </c>
      <c r="C201" s="110" t="s">
        <v>337</v>
      </c>
      <c r="D201" s="110" t="s">
        <v>612</v>
      </c>
      <c r="E201" s="104">
        <v>0.0</v>
      </c>
      <c r="F201" s="104">
        <v>28.1</v>
      </c>
      <c r="G201" s="110" t="s">
        <v>699</v>
      </c>
      <c r="H201" s="112">
        <v>45940.0</v>
      </c>
      <c r="I201" s="110" t="s">
        <v>700</v>
      </c>
      <c r="J201" s="104">
        <v>0.0</v>
      </c>
      <c r="K201" s="110" t="s">
        <v>701</v>
      </c>
      <c r="L201" s="110" t="s">
        <v>702</v>
      </c>
    </row>
    <row r="202">
      <c r="A202" s="110" t="s">
        <v>599</v>
      </c>
      <c r="B202" s="104">
        <v>0.0</v>
      </c>
      <c r="C202" s="110" t="s">
        <v>273</v>
      </c>
      <c r="D202" s="110" t="s">
        <v>612</v>
      </c>
      <c r="E202" s="104">
        <v>0.0</v>
      </c>
      <c r="F202" s="104">
        <v>10.54</v>
      </c>
      <c r="G202" s="110" t="s">
        <v>699</v>
      </c>
      <c r="H202" s="112">
        <v>45916.0</v>
      </c>
      <c r="I202" s="110" t="s">
        <v>599</v>
      </c>
      <c r="J202" s="104">
        <v>0.0</v>
      </c>
      <c r="K202" s="110" t="s">
        <v>703</v>
      </c>
      <c r="L202" s="110" t="s">
        <v>704</v>
      </c>
    </row>
    <row r="203">
      <c r="A203" s="110" t="s">
        <v>601</v>
      </c>
      <c r="B203" s="110" t="s">
        <v>601</v>
      </c>
      <c r="C203" s="110" t="s">
        <v>705</v>
      </c>
      <c r="D203" s="110" t="s">
        <v>217</v>
      </c>
      <c r="E203" s="104">
        <v>0.0</v>
      </c>
      <c r="F203" s="104">
        <v>0.0</v>
      </c>
      <c r="G203" s="104">
        <v>0.0</v>
      </c>
      <c r="H203" s="104" t="s">
        <v>232</v>
      </c>
      <c r="I203" s="104">
        <v>0.0</v>
      </c>
      <c r="J203" s="104">
        <v>0.0</v>
      </c>
      <c r="K203" s="110" t="s">
        <v>706</v>
      </c>
      <c r="L203" s="110" t="s">
        <v>707</v>
      </c>
    </row>
    <row r="204">
      <c r="A204" s="110" t="s">
        <v>605</v>
      </c>
      <c r="B204" s="104">
        <v>0.0</v>
      </c>
      <c r="C204" s="110" t="s">
        <v>266</v>
      </c>
      <c r="D204" s="110" t="s">
        <v>217</v>
      </c>
      <c r="E204" s="104">
        <v>0.0</v>
      </c>
      <c r="F204" s="104">
        <v>155.0</v>
      </c>
      <c r="G204" s="110" t="s">
        <v>268</v>
      </c>
      <c r="H204" s="112">
        <v>45930.0</v>
      </c>
      <c r="I204" s="104">
        <v>0.0</v>
      </c>
      <c r="J204" s="104">
        <v>0.0</v>
      </c>
      <c r="K204" s="110" t="s">
        <v>708</v>
      </c>
      <c r="L204" s="110" t="s">
        <v>709</v>
      </c>
    </row>
    <row r="205">
      <c r="A205" s="110" t="s">
        <v>605</v>
      </c>
      <c r="B205" s="104">
        <v>0.0</v>
      </c>
      <c r="C205" s="110" t="s">
        <v>209</v>
      </c>
      <c r="D205" s="110" t="s">
        <v>217</v>
      </c>
      <c r="E205" s="104">
        <v>0.0</v>
      </c>
      <c r="F205" s="104">
        <v>0.0</v>
      </c>
      <c r="G205" s="104">
        <v>0.0</v>
      </c>
      <c r="H205" s="104" t="s">
        <v>232</v>
      </c>
      <c r="I205" s="104">
        <v>0.0</v>
      </c>
      <c r="J205" s="104">
        <v>0.0</v>
      </c>
      <c r="K205" s="110" t="s">
        <v>710</v>
      </c>
      <c r="L205" s="110" t="s">
        <v>711</v>
      </c>
    </row>
    <row r="206">
      <c r="A206" s="110" t="s">
        <v>607</v>
      </c>
      <c r="B206" s="104">
        <v>0.0</v>
      </c>
      <c r="C206" s="110" t="s">
        <v>247</v>
      </c>
      <c r="D206" s="110" t="s">
        <v>210</v>
      </c>
      <c r="E206" s="104">
        <v>0.0</v>
      </c>
      <c r="F206" s="104">
        <v>0.0</v>
      </c>
      <c r="G206" s="104">
        <v>0.0</v>
      </c>
      <c r="H206" s="104" t="s">
        <v>232</v>
      </c>
      <c r="I206" s="104">
        <v>0.0</v>
      </c>
      <c r="J206" s="104">
        <v>0.0</v>
      </c>
      <c r="K206" s="110" t="s">
        <v>712</v>
      </c>
      <c r="L206" s="110" t="s">
        <v>713</v>
      </c>
    </row>
    <row r="207">
      <c r="A207" s="110" t="s">
        <v>609</v>
      </c>
      <c r="B207" s="104">
        <v>0.0</v>
      </c>
      <c r="C207" s="110" t="s">
        <v>714</v>
      </c>
      <c r="D207" s="110" t="s">
        <v>322</v>
      </c>
      <c r="E207" s="104">
        <v>0.0</v>
      </c>
      <c r="F207" s="104">
        <v>0.0</v>
      </c>
      <c r="G207" s="110" t="s">
        <v>715</v>
      </c>
      <c r="H207" s="112">
        <v>45812.0</v>
      </c>
      <c r="I207" s="104">
        <v>0.0</v>
      </c>
      <c r="J207" s="104">
        <v>0.0</v>
      </c>
      <c r="K207" s="110" t="s">
        <v>716</v>
      </c>
      <c r="L207" s="110" t="s">
        <v>717</v>
      </c>
    </row>
    <row r="208">
      <c r="A208" s="110" t="s">
        <v>611</v>
      </c>
      <c r="B208" s="104">
        <v>0.0</v>
      </c>
      <c r="C208" s="110" t="s">
        <v>562</v>
      </c>
      <c r="D208" s="110" t="s">
        <v>210</v>
      </c>
      <c r="E208" s="104">
        <v>0.0</v>
      </c>
      <c r="F208" s="104">
        <v>13.5</v>
      </c>
      <c r="G208" s="110" t="s">
        <v>238</v>
      </c>
      <c r="H208" s="112">
        <v>45855.0</v>
      </c>
      <c r="I208" s="110" t="s">
        <v>611</v>
      </c>
      <c r="J208" s="104">
        <v>0.0</v>
      </c>
      <c r="K208" s="110" t="s">
        <v>718</v>
      </c>
      <c r="L208" s="110" t="s">
        <v>717</v>
      </c>
    </row>
    <row r="209">
      <c r="A209" s="110" t="s">
        <v>615</v>
      </c>
      <c r="B209" s="110" t="s">
        <v>719</v>
      </c>
      <c r="C209" s="110" t="s">
        <v>720</v>
      </c>
      <c r="D209" s="110" t="s">
        <v>210</v>
      </c>
      <c r="E209" s="104">
        <v>0.0</v>
      </c>
      <c r="F209" s="104">
        <v>60.0</v>
      </c>
      <c r="G209" s="110" t="s">
        <v>721</v>
      </c>
      <c r="H209" s="112">
        <v>45741.0</v>
      </c>
      <c r="I209" s="104">
        <v>0.0</v>
      </c>
      <c r="J209" s="104">
        <v>0.0</v>
      </c>
      <c r="K209" s="110" t="s">
        <v>722</v>
      </c>
      <c r="L209" s="110" t="s">
        <v>723</v>
      </c>
    </row>
    <row r="210">
      <c r="A210" s="110" t="s">
        <v>615</v>
      </c>
      <c r="B210" s="110" t="s">
        <v>719</v>
      </c>
      <c r="C210" s="110" t="s">
        <v>720</v>
      </c>
      <c r="D210" s="110" t="s">
        <v>210</v>
      </c>
      <c r="E210" s="104">
        <v>0.0</v>
      </c>
      <c r="F210" s="104">
        <v>57.0</v>
      </c>
      <c r="G210" s="110" t="s">
        <v>724</v>
      </c>
      <c r="H210" s="112">
        <v>45741.0</v>
      </c>
      <c r="I210" s="104">
        <v>0.0</v>
      </c>
      <c r="J210" s="104">
        <v>0.0</v>
      </c>
      <c r="K210" s="110" t="s">
        <v>722</v>
      </c>
      <c r="L210" s="110" t="s">
        <v>725</v>
      </c>
    </row>
    <row r="211">
      <c r="A211" s="110" t="s">
        <v>615</v>
      </c>
      <c r="B211" s="110" t="s">
        <v>719</v>
      </c>
      <c r="C211" s="110" t="s">
        <v>720</v>
      </c>
      <c r="D211" s="110" t="s">
        <v>210</v>
      </c>
      <c r="E211" s="104">
        <v>0.0</v>
      </c>
      <c r="F211" s="104">
        <v>52.0</v>
      </c>
      <c r="G211" s="110" t="s">
        <v>726</v>
      </c>
      <c r="H211" s="112">
        <v>45741.0</v>
      </c>
      <c r="I211" s="104">
        <v>0.0</v>
      </c>
      <c r="J211" s="104">
        <v>0.0</v>
      </c>
      <c r="K211" s="110" t="s">
        <v>722</v>
      </c>
      <c r="L211" s="110" t="s">
        <v>727</v>
      </c>
    </row>
    <row r="212">
      <c r="A212" s="110" t="s">
        <v>615</v>
      </c>
      <c r="B212" s="110" t="s">
        <v>719</v>
      </c>
      <c r="C212" s="110" t="s">
        <v>720</v>
      </c>
      <c r="D212" s="110" t="s">
        <v>210</v>
      </c>
      <c r="E212" s="104">
        <v>0.0</v>
      </c>
      <c r="F212" s="104">
        <v>50.0</v>
      </c>
      <c r="G212" s="110" t="s">
        <v>728</v>
      </c>
      <c r="H212" s="112">
        <v>45741.0</v>
      </c>
      <c r="I212" s="104">
        <v>0.0</v>
      </c>
      <c r="J212" s="104">
        <v>0.0</v>
      </c>
      <c r="K212" s="110" t="s">
        <v>722</v>
      </c>
      <c r="L212" s="110" t="s">
        <v>729</v>
      </c>
    </row>
    <row r="213">
      <c r="A213" s="110" t="s">
        <v>617</v>
      </c>
      <c r="B213" s="104">
        <v>0.0</v>
      </c>
      <c r="C213" s="110" t="s">
        <v>331</v>
      </c>
      <c r="D213" s="110" t="s">
        <v>210</v>
      </c>
      <c r="E213" s="104">
        <v>0.0</v>
      </c>
      <c r="F213" s="104">
        <v>39.0</v>
      </c>
      <c r="G213" s="110" t="s">
        <v>218</v>
      </c>
      <c r="H213" s="112">
        <v>45953.0</v>
      </c>
      <c r="I213" s="110" t="s">
        <v>617</v>
      </c>
      <c r="J213" s="104">
        <v>0.0</v>
      </c>
      <c r="K213" s="110" t="s">
        <v>730</v>
      </c>
      <c r="L213" s="110" t="s">
        <v>731</v>
      </c>
    </row>
    <row r="214">
      <c r="A214" s="110" t="s">
        <v>620</v>
      </c>
      <c r="B214" s="104">
        <v>0.0</v>
      </c>
      <c r="C214" s="110" t="s">
        <v>209</v>
      </c>
      <c r="D214" s="110" t="s">
        <v>217</v>
      </c>
      <c r="E214" s="104">
        <v>0.0</v>
      </c>
      <c r="F214" s="104">
        <v>0.0</v>
      </c>
      <c r="G214" s="104">
        <v>0.0</v>
      </c>
      <c r="H214" s="104" t="s">
        <v>232</v>
      </c>
      <c r="I214" s="104">
        <v>0.0</v>
      </c>
      <c r="J214" s="104">
        <v>0.0</v>
      </c>
      <c r="K214" s="110" t="s">
        <v>732</v>
      </c>
      <c r="L214" s="110" t="s">
        <v>733</v>
      </c>
    </row>
    <row r="215">
      <c r="A215" s="110" t="s">
        <v>622</v>
      </c>
      <c r="B215" s="104">
        <v>0.0</v>
      </c>
      <c r="C215" s="110" t="s">
        <v>331</v>
      </c>
      <c r="D215" s="110" t="s">
        <v>210</v>
      </c>
      <c r="E215" s="104">
        <v>0.0</v>
      </c>
      <c r="F215" s="104">
        <v>38.0</v>
      </c>
      <c r="G215" s="110" t="s">
        <v>238</v>
      </c>
      <c r="H215" s="112">
        <v>45917.0</v>
      </c>
      <c r="I215" s="110" t="s">
        <v>734</v>
      </c>
      <c r="J215" s="104">
        <v>0.0</v>
      </c>
      <c r="K215" s="110" t="s">
        <v>735</v>
      </c>
      <c r="L215" s="110" t="s">
        <v>736</v>
      </c>
    </row>
    <row r="216">
      <c r="A216" s="110" t="s">
        <v>624</v>
      </c>
      <c r="B216" s="104">
        <v>0.0</v>
      </c>
      <c r="C216" s="110" t="s">
        <v>551</v>
      </c>
      <c r="D216" s="110" t="s">
        <v>552</v>
      </c>
      <c r="E216" s="104">
        <v>0.0</v>
      </c>
      <c r="F216" s="104">
        <v>37.27</v>
      </c>
      <c r="G216" s="110" t="s">
        <v>238</v>
      </c>
      <c r="H216" s="112">
        <v>45713.0</v>
      </c>
      <c r="I216" s="104">
        <v>0.0</v>
      </c>
      <c r="J216" s="104">
        <v>0.0</v>
      </c>
      <c r="K216" s="110" t="s">
        <v>737</v>
      </c>
      <c r="L216" s="110" t="s">
        <v>738</v>
      </c>
    </row>
    <row r="217">
      <c r="A217" s="110" t="s">
        <v>627</v>
      </c>
      <c r="B217" s="104">
        <v>0.0</v>
      </c>
      <c r="C217" s="110" t="s">
        <v>551</v>
      </c>
      <c r="D217" s="110" t="s">
        <v>552</v>
      </c>
      <c r="E217" s="104">
        <v>0.0</v>
      </c>
      <c r="F217" s="104">
        <v>42.78</v>
      </c>
      <c r="G217" s="110" t="s">
        <v>238</v>
      </c>
      <c r="H217" s="112">
        <v>45720.0</v>
      </c>
      <c r="I217" s="110" t="s">
        <v>627</v>
      </c>
      <c r="J217" s="104">
        <v>0.0</v>
      </c>
      <c r="K217" s="110" t="s">
        <v>739</v>
      </c>
      <c r="L217" s="110" t="s">
        <v>740</v>
      </c>
    </row>
    <row r="218">
      <c r="A218" s="110" t="s">
        <v>629</v>
      </c>
      <c r="B218" s="110" t="s">
        <v>741</v>
      </c>
      <c r="C218" s="110" t="s">
        <v>742</v>
      </c>
      <c r="D218" s="110" t="s">
        <v>743</v>
      </c>
      <c r="E218" s="104">
        <v>0.0</v>
      </c>
      <c r="F218" s="104">
        <v>13.63</v>
      </c>
      <c r="G218" s="110" t="s">
        <v>744</v>
      </c>
      <c r="H218" s="112">
        <v>45723.0</v>
      </c>
      <c r="I218" s="104">
        <v>0.0</v>
      </c>
      <c r="J218" s="104">
        <v>0.0</v>
      </c>
      <c r="K218" s="110" t="s">
        <v>745</v>
      </c>
      <c r="L218" s="110" t="s">
        <v>746</v>
      </c>
    </row>
    <row r="219">
      <c r="A219" s="110" t="s">
        <v>629</v>
      </c>
      <c r="B219" s="110" t="s">
        <v>741</v>
      </c>
      <c r="C219" s="110" t="s">
        <v>742</v>
      </c>
      <c r="D219" s="110" t="s">
        <v>743</v>
      </c>
      <c r="E219" s="104">
        <v>0.0</v>
      </c>
      <c r="F219" s="104">
        <v>13.19</v>
      </c>
      <c r="G219" s="110" t="s">
        <v>747</v>
      </c>
      <c r="H219" s="112">
        <v>45723.0</v>
      </c>
      <c r="I219" s="104">
        <v>0.0</v>
      </c>
      <c r="J219" s="104">
        <v>0.0</v>
      </c>
      <c r="K219" s="110" t="s">
        <v>745</v>
      </c>
      <c r="L219" s="110" t="s">
        <v>748</v>
      </c>
    </row>
    <row r="220">
      <c r="A220" s="110" t="s">
        <v>629</v>
      </c>
      <c r="B220" s="110" t="s">
        <v>741</v>
      </c>
      <c r="C220" s="110" t="s">
        <v>742</v>
      </c>
      <c r="D220" s="110" t="s">
        <v>743</v>
      </c>
      <c r="E220" s="104">
        <v>0.0</v>
      </c>
      <c r="F220" s="104">
        <v>12.97</v>
      </c>
      <c r="G220" s="110" t="s">
        <v>749</v>
      </c>
      <c r="H220" s="112">
        <v>45723.0</v>
      </c>
      <c r="I220" s="104">
        <v>0.0</v>
      </c>
      <c r="J220" s="104">
        <v>0.0</v>
      </c>
      <c r="K220" s="110" t="s">
        <v>745</v>
      </c>
      <c r="L220" s="110" t="s">
        <v>750</v>
      </c>
    </row>
    <row r="221">
      <c r="A221" s="110" t="s">
        <v>629</v>
      </c>
      <c r="B221" s="110" t="s">
        <v>741</v>
      </c>
      <c r="C221" s="110" t="s">
        <v>742</v>
      </c>
      <c r="D221" s="110" t="s">
        <v>743</v>
      </c>
      <c r="E221" s="104">
        <v>0.0</v>
      </c>
      <c r="F221" s="104">
        <v>12.86</v>
      </c>
      <c r="G221" s="110" t="s">
        <v>751</v>
      </c>
      <c r="H221" s="112">
        <v>45723.0</v>
      </c>
      <c r="I221" s="104">
        <v>0.0</v>
      </c>
      <c r="J221" s="104">
        <v>0.0</v>
      </c>
      <c r="K221" s="110" t="s">
        <v>745</v>
      </c>
      <c r="L221" s="110" t="s">
        <v>752</v>
      </c>
    </row>
    <row r="222">
      <c r="A222" s="110" t="s">
        <v>631</v>
      </c>
      <c r="B222" s="104">
        <v>0.0</v>
      </c>
      <c r="C222" s="110" t="s">
        <v>742</v>
      </c>
      <c r="D222" s="110" t="s">
        <v>210</v>
      </c>
      <c r="E222" s="104">
        <v>0.0</v>
      </c>
      <c r="F222" s="104">
        <v>18.28</v>
      </c>
      <c r="G222" s="110" t="s">
        <v>753</v>
      </c>
      <c r="H222" s="112">
        <v>45873.0</v>
      </c>
      <c r="I222" s="110" t="s">
        <v>631</v>
      </c>
      <c r="J222" s="104">
        <v>0.0</v>
      </c>
      <c r="K222" s="110" t="s">
        <v>754</v>
      </c>
      <c r="L222" s="110" t="s">
        <v>755</v>
      </c>
    </row>
    <row r="223">
      <c r="A223" s="110" t="s">
        <v>631</v>
      </c>
      <c r="B223" s="104">
        <v>0.0</v>
      </c>
      <c r="C223" s="110" t="s">
        <v>742</v>
      </c>
      <c r="D223" s="110" t="s">
        <v>210</v>
      </c>
      <c r="E223" s="104">
        <v>0.0</v>
      </c>
      <c r="F223" s="104">
        <v>17.83</v>
      </c>
      <c r="G223" s="110" t="s">
        <v>756</v>
      </c>
      <c r="H223" s="112">
        <v>45873.0</v>
      </c>
      <c r="I223" s="110" t="s">
        <v>631</v>
      </c>
      <c r="J223" s="104">
        <v>0.0</v>
      </c>
      <c r="K223" s="110" t="s">
        <v>754</v>
      </c>
      <c r="L223" s="110" t="s">
        <v>757</v>
      </c>
    </row>
    <row r="224">
      <c r="A224" s="110" t="s">
        <v>631</v>
      </c>
      <c r="B224" s="104">
        <v>0.0</v>
      </c>
      <c r="C224" s="110" t="s">
        <v>742</v>
      </c>
      <c r="D224" s="110" t="s">
        <v>210</v>
      </c>
      <c r="E224" s="104">
        <v>0.0</v>
      </c>
      <c r="F224" s="104">
        <v>17.61</v>
      </c>
      <c r="G224" s="110" t="s">
        <v>758</v>
      </c>
      <c r="H224" s="112">
        <v>45873.0</v>
      </c>
      <c r="I224" s="110" t="s">
        <v>631</v>
      </c>
      <c r="J224" s="104">
        <v>0.0</v>
      </c>
      <c r="K224" s="110" t="s">
        <v>754</v>
      </c>
      <c r="L224" s="110" t="s">
        <v>759</v>
      </c>
    </row>
    <row r="225">
      <c r="A225" s="110" t="s">
        <v>631</v>
      </c>
      <c r="B225" s="104">
        <v>0.0</v>
      </c>
      <c r="C225" s="110" t="s">
        <v>742</v>
      </c>
      <c r="D225" s="110" t="s">
        <v>210</v>
      </c>
      <c r="E225" s="104">
        <v>0.0</v>
      </c>
      <c r="F225" s="104">
        <v>17.5</v>
      </c>
      <c r="G225" s="110" t="s">
        <v>760</v>
      </c>
      <c r="H225" s="112">
        <v>45873.0</v>
      </c>
      <c r="I225" s="110" t="s">
        <v>631</v>
      </c>
      <c r="J225" s="104">
        <v>0.0</v>
      </c>
      <c r="K225" s="110" t="s">
        <v>754</v>
      </c>
      <c r="L225" s="110" t="s">
        <v>761</v>
      </c>
    </row>
    <row r="226">
      <c r="A226" s="110" t="s">
        <v>634</v>
      </c>
      <c r="B226" s="104">
        <v>0.0</v>
      </c>
      <c r="C226" s="110" t="s">
        <v>551</v>
      </c>
      <c r="D226" s="110" t="s">
        <v>552</v>
      </c>
      <c r="E226" s="104">
        <v>0.0</v>
      </c>
      <c r="F226" s="104">
        <v>46.3</v>
      </c>
      <c r="G226" s="110" t="s">
        <v>206</v>
      </c>
      <c r="H226" s="112">
        <v>45813.0</v>
      </c>
      <c r="I226" s="104">
        <v>0.0</v>
      </c>
      <c r="J226" s="104">
        <v>0.0</v>
      </c>
      <c r="K226" s="110" t="s">
        <v>762</v>
      </c>
      <c r="L226" s="110" t="s">
        <v>763</v>
      </c>
    </row>
    <row r="227">
      <c r="A227" s="110" t="s">
        <v>636</v>
      </c>
      <c r="B227" s="110" t="s">
        <v>636</v>
      </c>
      <c r="C227" s="110" t="s">
        <v>764</v>
      </c>
      <c r="D227" s="110" t="s">
        <v>210</v>
      </c>
      <c r="E227" s="104">
        <v>0.0</v>
      </c>
      <c r="F227" s="104">
        <v>0.0</v>
      </c>
      <c r="G227" s="104">
        <v>0.0</v>
      </c>
      <c r="H227" s="104" t="s">
        <v>232</v>
      </c>
      <c r="I227" s="104">
        <v>0.0</v>
      </c>
      <c r="J227" s="104">
        <v>0.0</v>
      </c>
      <c r="K227" s="110" t="s">
        <v>765</v>
      </c>
      <c r="L227" s="110" t="s">
        <v>766</v>
      </c>
    </row>
    <row r="228">
      <c r="A228" s="110" t="s">
        <v>638</v>
      </c>
      <c r="B228" s="104">
        <v>0.0</v>
      </c>
      <c r="C228" s="110" t="s">
        <v>767</v>
      </c>
      <c r="D228" s="110" t="s">
        <v>612</v>
      </c>
      <c r="E228" s="104">
        <v>0.0</v>
      </c>
      <c r="F228" s="110" t="s">
        <v>768</v>
      </c>
      <c r="G228" s="110" t="s">
        <v>769</v>
      </c>
      <c r="H228" s="112">
        <v>45967.0</v>
      </c>
      <c r="I228" s="110" t="s">
        <v>638</v>
      </c>
      <c r="J228" s="104">
        <v>0.0</v>
      </c>
      <c r="K228" s="110" t="s">
        <v>770</v>
      </c>
      <c r="L228" s="110" t="s">
        <v>771</v>
      </c>
    </row>
    <row r="229">
      <c r="A229" s="110" t="s">
        <v>640</v>
      </c>
      <c r="B229" s="104">
        <v>0.0</v>
      </c>
      <c r="C229" s="110" t="s">
        <v>209</v>
      </c>
      <c r="D229" s="110" t="s">
        <v>217</v>
      </c>
      <c r="E229" s="104">
        <v>0.0</v>
      </c>
      <c r="F229" s="104">
        <v>0.0</v>
      </c>
      <c r="G229" s="104">
        <v>0.0</v>
      </c>
      <c r="H229" s="104" t="s">
        <v>232</v>
      </c>
      <c r="I229" s="104">
        <v>0.0</v>
      </c>
      <c r="J229" s="104">
        <v>0.0</v>
      </c>
      <c r="K229" s="110" t="s">
        <v>772</v>
      </c>
      <c r="L229" s="110" t="s">
        <v>773</v>
      </c>
    </row>
    <row r="230">
      <c r="A230" s="110" t="s">
        <v>642</v>
      </c>
      <c r="B230" s="104">
        <v>0.0</v>
      </c>
      <c r="C230" s="110" t="s">
        <v>417</v>
      </c>
      <c r="D230" s="110" t="s">
        <v>201</v>
      </c>
      <c r="E230" s="104">
        <v>0.0</v>
      </c>
      <c r="F230" s="104">
        <v>14.4</v>
      </c>
      <c r="G230" s="110" t="s">
        <v>774</v>
      </c>
      <c r="H230" s="112">
        <v>45897.0</v>
      </c>
      <c r="I230" s="104">
        <v>0.0</v>
      </c>
      <c r="J230" s="104">
        <v>0.0</v>
      </c>
      <c r="K230" s="110" t="s">
        <v>775</v>
      </c>
      <c r="L230" s="110" t="s">
        <v>776</v>
      </c>
    </row>
    <row r="231">
      <c r="A231" s="110" t="s">
        <v>644</v>
      </c>
      <c r="B231" s="104">
        <v>0.0</v>
      </c>
      <c r="C231" s="110" t="s">
        <v>247</v>
      </c>
      <c r="D231" s="110" t="s">
        <v>210</v>
      </c>
      <c r="E231" s="104">
        <v>0.0</v>
      </c>
      <c r="F231" s="104">
        <v>13.0</v>
      </c>
      <c r="G231" s="110" t="s">
        <v>334</v>
      </c>
      <c r="H231" s="112">
        <v>45747.0</v>
      </c>
      <c r="I231" s="110" t="s">
        <v>777</v>
      </c>
      <c r="J231" s="104">
        <v>0.0</v>
      </c>
      <c r="K231" s="110" t="s">
        <v>778</v>
      </c>
      <c r="L231" s="110" t="s">
        <v>779</v>
      </c>
    </row>
    <row r="232">
      <c r="A232" s="110" t="s">
        <v>646</v>
      </c>
      <c r="B232" s="104">
        <v>0.0</v>
      </c>
      <c r="C232" s="110" t="s">
        <v>780</v>
      </c>
      <c r="D232" s="110" t="s">
        <v>210</v>
      </c>
      <c r="E232" s="104">
        <v>0.0</v>
      </c>
      <c r="F232" s="104">
        <v>5.64</v>
      </c>
      <c r="G232" s="110" t="s">
        <v>781</v>
      </c>
      <c r="H232" s="112">
        <v>45887.0</v>
      </c>
      <c r="I232" s="110" t="s">
        <v>646</v>
      </c>
      <c r="J232" s="104">
        <v>0.0</v>
      </c>
      <c r="K232" s="110" t="s">
        <v>782</v>
      </c>
      <c r="L232" s="110" t="s">
        <v>783</v>
      </c>
    </row>
    <row r="233">
      <c r="A233" s="110" t="s">
        <v>648</v>
      </c>
      <c r="B233" s="104">
        <v>0.0</v>
      </c>
      <c r="C233" s="110" t="s">
        <v>337</v>
      </c>
      <c r="D233" s="110" t="s">
        <v>217</v>
      </c>
      <c r="E233" s="104">
        <v>0.0</v>
      </c>
      <c r="F233" s="104">
        <v>24.0</v>
      </c>
      <c r="G233" s="110" t="s">
        <v>238</v>
      </c>
      <c r="H233" s="112">
        <v>45603.0</v>
      </c>
      <c r="I233" s="104">
        <v>0.0</v>
      </c>
      <c r="J233" s="104">
        <v>0.0</v>
      </c>
      <c r="K233" s="110" t="s">
        <v>784</v>
      </c>
      <c r="L233" s="110" t="s">
        <v>785</v>
      </c>
    </row>
    <row r="234">
      <c r="A234" s="110" t="s">
        <v>650</v>
      </c>
      <c r="B234" s="104">
        <v>0.0</v>
      </c>
      <c r="C234" s="110" t="s">
        <v>337</v>
      </c>
      <c r="D234" s="110" t="s">
        <v>217</v>
      </c>
      <c r="E234" s="104">
        <v>0.0</v>
      </c>
      <c r="F234" s="104">
        <v>16.0</v>
      </c>
      <c r="G234" s="110" t="s">
        <v>238</v>
      </c>
      <c r="H234" s="112">
        <v>45603.0</v>
      </c>
      <c r="I234" s="104">
        <v>0.0</v>
      </c>
      <c r="J234" s="104">
        <v>0.0</v>
      </c>
      <c r="K234" s="110" t="s">
        <v>786</v>
      </c>
      <c r="L234" s="110" t="s">
        <v>787</v>
      </c>
    </row>
    <row r="235">
      <c r="A235" s="110" t="s">
        <v>650</v>
      </c>
      <c r="B235" s="104">
        <v>0.0</v>
      </c>
      <c r="C235" s="110" t="s">
        <v>209</v>
      </c>
      <c r="D235" s="110" t="s">
        <v>217</v>
      </c>
      <c r="E235" s="104">
        <v>0.0</v>
      </c>
      <c r="F235" s="104">
        <v>0.0</v>
      </c>
      <c r="G235" s="104">
        <v>0.0</v>
      </c>
      <c r="H235" s="104" t="s">
        <v>232</v>
      </c>
      <c r="I235" s="104">
        <v>0.0</v>
      </c>
      <c r="J235" s="104">
        <v>0.0</v>
      </c>
      <c r="K235" s="110" t="s">
        <v>788</v>
      </c>
      <c r="L235" s="110" t="s">
        <v>789</v>
      </c>
    </row>
    <row r="236">
      <c r="A236" s="110" t="s">
        <v>650</v>
      </c>
      <c r="B236" s="104">
        <v>0.0</v>
      </c>
      <c r="C236" s="110" t="s">
        <v>209</v>
      </c>
      <c r="D236" s="110" t="s">
        <v>217</v>
      </c>
      <c r="E236" s="104">
        <v>9.5</v>
      </c>
      <c r="F236" s="104">
        <v>9.5</v>
      </c>
      <c r="G236" s="110" t="s">
        <v>238</v>
      </c>
      <c r="H236" s="112">
        <v>45987.0</v>
      </c>
      <c r="I236" s="110" t="s">
        <v>650</v>
      </c>
      <c r="J236" s="104">
        <v>0.0</v>
      </c>
      <c r="K236" s="110" t="s">
        <v>788</v>
      </c>
      <c r="L236" s="110" t="s">
        <v>790</v>
      </c>
    </row>
    <row r="237">
      <c r="A237" s="110" t="s">
        <v>652</v>
      </c>
      <c r="B237" s="104">
        <v>0.0</v>
      </c>
      <c r="C237" s="110" t="s">
        <v>657</v>
      </c>
      <c r="D237" s="110" t="s">
        <v>217</v>
      </c>
      <c r="E237" s="104">
        <v>0.0</v>
      </c>
      <c r="F237" s="104">
        <v>0.0</v>
      </c>
      <c r="G237" s="110" t="s">
        <v>238</v>
      </c>
      <c r="H237" s="112">
        <v>45825.0</v>
      </c>
      <c r="I237" s="104">
        <v>0.0</v>
      </c>
      <c r="J237" s="104">
        <v>0.0</v>
      </c>
      <c r="K237" s="110" t="s">
        <v>791</v>
      </c>
      <c r="L237" s="110" t="s">
        <v>792</v>
      </c>
    </row>
    <row r="238">
      <c r="A238" s="110" t="s">
        <v>654</v>
      </c>
      <c r="B238" s="104">
        <v>0.0</v>
      </c>
      <c r="C238" s="110" t="s">
        <v>657</v>
      </c>
      <c r="D238" s="110" t="s">
        <v>217</v>
      </c>
      <c r="E238" s="104">
        <v>0.0</v>
      </c>
      <c r="F238" s="104">
        <v>0.0</v>
      </c>
      <c r="G238" s="110" t="s">
        <v>238</v>
      </c>
      <c r="H238" s="112">
        <v>45825.0</v>
      </c>
      <c r="I238" s="104">
        <v>0.0</v>
      </c>
      <c r="J238" s="104">
        <v>0.0</v>
      </c>
      <c r="K238" s="110" t="s">
        <v>793</v>
      </c>
      <c r="L238" s="110" t="s">
        <v>794</v>
      </c>
    </row>
    <row r="239">
      <c r="A239" s="110" t="s">
        <v>656</v>
      </c>
      <c r="B239" s="104">
        <v>0.0</v>
      </c>
      <c r="C239" s="110" t="s">
        <v>657</v>
      </c>
      <c r="D239" s="110" t="s">
        <v>217</v>
      </c>
      <c r="E239" s="104">
        <v>0.0</v>
      </c>
      <c r="F239" s="104">
        <v>0.0</v>
      </c>
      <c r="G239" s="110" t="s">
        <v>238</v>
      </c>
      <c r="H239" s="112">
        <v>45825.0</v>
      </c>
      <c r="I239" s="104">
        <v>0.0</v>
      </c>
      <c r="J239" s="104">
        <v>0.0</v>
      </c>
      <c r="K239" s="110" t="s">
        <v>795</v>
      </c>
      <c r="L239" s="110" t="s">
        <v>796</v>
      </c>
    </row>
    <row r="240">
      <c r="A240" s="110" t="s">
        <v>660</v>
      </c>
      <c r="B240" s="104">
        <v>0.0</v>
      </c>
      <c r="C240" s="110" t="s">
        <v>657</v>
      </c>
      <c r="D240" s="110" t="s">
        <v>217</v>
      </c>
      <c r="E240" s="104">
        <v>0.0</v>
      </c>
      <c r="F240" s="104">
        <v>0.0</v>
      </c>
      <c r="G240" s="110" t="s">
        <v>238</v>
      </c>
      <c r="H240" s="112">
        <v>45825.0</v>
      </c>
      <c r="I240" s="104">
        <v>0.0</v>
      </c>
      <c r="J240" s="104">
        <v>0.0</v>
      </c>
      <c r="K240" s="110" t="s">
        <v>797</v>
      </c>
      <c r="L240" s="110" t="s">
        <v>798</v>
      </c>
    </row>
    <row r="241">
      <c r="A241" s="110" t="s">
        <v>662</v>
      </c>
      <c r="B241" s="104">
        <v>0.0</v>
      </c>
      <c r="C241" s="110" t="s">
        <v>657</v>
      </c>
      <c r="D241" s="110" t="s">
        <v>217</v>
      </c>
      <c r="E241" s="104">
        <v>0.0</v>
      </c>
      <c r="F241" s="104">
        <v>0.0</v>
      </c>
      <c r="G241" s="110" t="s">
        <v>799</v>
      </c>
      <c r="H241" s="112">
        <v>45825.0</v>
      </c>
      <c r="I241" s="104">
        <v>0.0</v>
      </c>
      <c r="J241" s="104">
        <v>0.0</v>
      </c>
      <c r="K241" s="110" t="s">
        <v>800</v>
      </c>
      <c r="L241" s="110" t="s">
        <v>801</v>
      </c>
    </row>
    <row r="242">
      <c r="A242" s="110" t="s">
        <v>666</v>
      </c>
      <c r="B242" s="104">
        <v>0.0</v>
      </c>
      <c r="C242" s="110" t="s">
        <v>657</v>
      </c>
      <c r="D242" s="110" t="s">
        <v>217</v>
      </c>
      <c r="E242" s="104">
        <v>0.0</v>
      </c>
      <c r="F242" s="104">
        <v>0.0</v>
      </c>
      <c r="G242" s="110" t="s">
        <v>658</v>
      </c>
      <c r="H242" s="112">
        <v>45825.0</v>
      </c>
      <c r="I242" s="104">
        <v>0.0</v>
      </c>
      <c r="J242" s="104">
        <v>0.0</v>
      </c>
      <c r="K242" s="110" t="s">
        <v>802</v>
      </c>
      <c r="L242" s="110" t="s">
        <v>803</v>
      </c>
    </row>
    <row r="243">
      <c r="A243" s="110" t="s">
        <v>668</v>
      </c>
      <c r="B243" s="104">
        <v>0.0</v>
      </c>
      <c r="C243" s="110" t="s">
        <v>657</v>
      </c>
      <c r="D243" s="110" t="s">
        <v>217</v>
      </c>
      <c r="E243" s="104">
        <v>0.0</v>
      </c>
      <c r="F243" s="104">
        <v>0.0</v>
      </c>
      <c r="G243" s="110" t="s">
        <v>238</v>
      </c>
      <c r="H243" s="112">
        <v>45825.0</v>
      </c>
      <c r="I243" s="104">
        <v>0.0</v>
      </c>
      <c r="J243" s="104">
        <v>0.0</v>
      </c>
      <c r="K243" s="110" t="s">
        <v>804</v>
      </c>
      <c r="L243" s="110" t="s">
        <v>805</v>
      </c>
    </row>
    <row r="244">
      <c r="A244" s="110" t="s">
        <v>669</v>
      </c>
      <c r="B244" s="104">
        <v>0.0</v>
      </c>
      <c r="C244" s="110" t="s">
        <v>657</v>
      </c>
      <c r="D244" s="110" t="s">
        <v>217</v>
      </c>
      <c r="E244" s="104">
        <v>0.0</v>
      </c>
      <c r="F244" s="104">
        <v>0.0</v>
      </c>
      <c r="G244" s="110" t="s">
        <v>238</v>
      </c>
      <c r="H244" s="112">
        <v>45825.0</v>
      </c>
      <c r="I244" s="104">
        <v>0.0</v>
      </c>
      <c r="J244" s="104">
        <v>0.0</v>
      </c>
      <c r="K244" s="110" t="s">
        <v>806</v>
      </c>
      <c r="L244" s="110" t="s">
        <v>807</v>
      </c>
    </row>
    <row r="245">
      <c r="A245" s="110" t="s">
        <v>670</v>
      </c>
      <c r="B245" s="104">
        <v>0.0</v>
      </c>
      <c r="C245" s="110" t="s">
        <v>657</v>
      </c>
      <c r="D245" s="110" t="s">
        <v>217</v>
      </c>
      <c r="E245" s="104">
        <v>0.0</v>
      </c>
      <c r="F245" s="104">
        <v>0.0</v>
      </c>
      <c r="G245" s="110" t="s">
        <v>238</v>
      </c>
      <c r="H245" s="112">
        <v>45825.0</v>
      </c>
      <c r="I245" s="104">
        <v>0.0</v>
      </c>
      <c r="J245" s="104">
        <v>0.0</v>
      </c>
      <c r="K245" s="110" t="s">
        <v>808</v>
      </c>
      <c r="L245" s="110" t="s">
        <v>809</v>
      </c>
    </row>
    <row r="246">
      <c r="A246" s="110" t="s">
        <v>672</v>
      </c>
      <c r="B246" s="104">
        <v>0.0</v>
      </c>
      <c r="C246" s="110" t="s">
        <v>657</v>
      </c>
      <c r="D246" s="110" t="s">
        <v>217</v>
      </c>
      <c r="E246" s="104">
        <v>0.0</v>
      </c>
      <c r="F246" s="104">
        <v>0.0</v>
      </c>
      <c r="G246" s="110" t="s">
        <v>238</v>
      </c>
      <c r="H246" s="112">
        <v>45825.0</v>
      </c>
      <c r="I246" s="104">
        <v>0.0</v>
      </c>
      <c r="J246" s="104">
        <v>0.0</v>
      </c>
      <c r="K246" s="110" t="s">
        <v>810</v>
      </c>
      <c r="L246" s="110" t="s">
        <v>811</v>
      </c>
    </row>
    <row r="247">
      <c r="A247" s="110" t="s">
        <v>674</v>
      </c>
      <c r="B247" s="104">
        <v>0.0</v>
      </c>
      <c r="C247" s="110" t="s">
        <v>209</v>
      </c>
      <c r="D247" s="110" t="s">
        <v>217</v>
      </c>
      <c r="E247" s="104">
        <v>0.0</v>
      </c>
      <c r="F247" s="104">
        <v>46.0</v>
      </c>
      <c r="G247" s="110" t="s">
        <v>238</v>
      </c>
      <c r="H247" s="112">
        <v>45846.0</v>
      </c>
      <c r="I247" s="110" t="s">
        <v>674</v>
      </c>
      <c r="J247" s="104">
        <v>0.0</v>
      </c>
      <c r="K247" s="110" t="s">
        <v>812</v>
      </c>
      <c r="L247" s="110" t="s">
        <v>813</v>
      </c>
    </row>
    <row r="248">
      <c r="A248" s="110" t="s">
        <v>674</v>
      </c>
      <c r="B248" s="104">
        <v>0.0</v>
      </c>
      <c r="C248" s="110" t="s">
        <v>209</v>
      </c>
      <c r="D248" s="110" t="s">
        <v>322</v>
      </c>
      <c r="E248" s="104">
        <v>40.0</v>
      </c>
      <c r="F248" s="104">
        <v>40.0</v>
      </c>
      <c r="G248" s="110" t="s">
        <v>238</v>
      </c>
      <c r="H248" s="112">
        <v>45987.0</v>
      </c>
      <c r="I248" s="110" t="s">
        <v>674</v>
      </c>
      <c r="J248" s="104">
        <v>0.0</v>
      </c>
      <c r="K248" s="110" t="s">
        <v>812</v>
      </c>
      <c r="L248" s="110" t="s">
        <v>814</v>
      </c>
    </row>
    <row r="249">
      <c r="A249" s="110" t="s">
        <v>676</v>
      </c>
      <c r="B249" s="104">
        <v>0.0</v>
      </c>
      <c r="C249" s="110" t="s">
        <v>209</v>
      </c>
      <c r="D249" s="110" t="s">
        <v>217</v>
      </c>
      <c r="E249" s="104">
        <v>39.0</v>
      </c>
      <c r="F249" s="104">
        <v>39.0</v>
      </c>
      <c r="G249" s="110" t="s">
        <v>238</v>
      </c>
      <c r="H249" s="112">
        <v>45987.0</v>
      </c>
      <c r="I249" s="110" t="s">
        <v>676</v>
      </c>
      <c r="J249" s="104">
        <v>0.0</v>
      </c>
      <c r="K249" s="110" t="s">
        <v>815</v>
      </c>
      <c r="L249" s="110" t="s">
        <v>816</v>
      </c>
    </row>
    <row r="250">
      <c r="A250" s="110" t="s">
        <v>678</v>
      </c>
      <c r="B250" s="104">
        <v>0.0</v>
      </c>
      <c r="C250" s="110" t="s">
        <v>209</v>
      </c>
      <c r="D250" s="110" t="s">
        <v>217</v>
      </c>
      <c r="E250" s="104">
        <v>0.0</v>
      </c>
      <c r="F250" s="104">
        <v>0.0</v>
      </c>
      <c r="G250" s="104">
        <v>0.0</v>
      </c>
      <c r="H250" s="104" t="s">
        <v>232</v>
      </c>
      <c r="I250" s="104">
        <v>0.0</v>
      </c>
      <c r="J250" s="104">
        <v>0.0</v>
      </c>
      <c r="K250" s="110" t="s">
        <v>817</v>
      </c>
      <c r="L250" s="110" t="s">
        <v>818</v>
      </c>
    </row>
    <row r="251">
      <c r="A251" s="110" t="s">
        <v>680</v>
      </c>
      <c r="B251" s="104">
        <v>0.0</v>
      </c>
      <c r="C251" s="110" t="s">
        <v>247</v>
      </c>
      <c r="D251" s="110" t="s">
        <v>210</v>
      </c>
      <c r="E251" s="104">
        <v>0.0</v>
      </c>
      <c r="F251" s="104">
        <v>0.0</v>
      </c>
      <c r="G251" s="104">
        <v>0.0</v>
      </c>
      <c r="H251" s="104" t="s">
        <v>232</v>
      </c>
      <c r="I251" s="104">
        <v>0.0</v>
      </c>
      <c r="J251" s="104">
        <v>0.0</v>
      </c>
      <c r="K251" s="110" t="s">
        <v>819</v>
      </c>
      <c r="L251" s="110" t="s">
        <v>820</v>
      </c>
    </row>
    <row r="252">
      <c r="A252" s="110" t="s">
        <v>682</v>
      </c>
      <c r="B252" s="104">
        <v>0.0</v>
      </c>
      <c r="C252" s="110" t="s">
        <v>562</v>
      </c>
      <c r="D252" s="110" t="s">
        <v>210</v>
      </c>
      <c r="E252" s="104">
        <v>0.0</v>
      </c>
      <c r="F252" s="104">
        <v>13.5</v>
      </c>
      <c r="G252" s="110" t="s">
        <v>238</v>
      </c>
      <c r="H252" s="112">
        <v>45812.0</v>
      </c>
      <c r="I252" s="110" t="s">
        <v>821</v>
      </c>
      <c r="J252" s="104">
        <v>0.0</v>
      </c>
      <c r="K252" s="110" t="s">
        <v>822</v>
      </c>
      <c r="L252" s="110" t="s">
        <v>823</v>
      </c>
    </row>
    <row r="253">
      <c r="A253" s="110" t="s">
        <v>684</v>
      </c>
      <c r="B253" s="104">
        <v>0.0</v>
      </c>
      <c r="C253" s="110" t="s">
        <v>562</v>
      </c>
      <c r="D253" s="110" t="s">
        <v>210</v>
      </c>
      <c r="E253" s="104">
        <v>0.0</v>
      </c>
      <c r="F253" s="104">
        <v>11.0</v>
      </c>
      <c r="G253" s="110" t="s">
        <v>238</v>
      </c>
      <c r="H253" s="112">
        <v>45812.0</v>
      </c>
      <c r="I253" s="110" t="s">
        <v>824</v>
      </c>
      <c r="J253" s="104">
        <v>0.0</v>
      </c>
      <c r="K253" s="110" t="s">
        <v>825</v>
      </c>
      <c r="L253" s="110" t="s">
        <v>826</v>
      </c>
    </row>
    <row r="254">
      <c r="A254" s="110" t="s">
        <v>685</v>
      </c>
      <c r="B254" s="104">
        <v>0.0</v>
      </c>
      <c r="C254" s="110" t="s">
        <v>331</v>
      </c>
      <c r="D254" s="110" t="s">
        <v>210</v>
      </c>
      <c r="E254" s="104">
        <v>0.0</v>
      </c>
      <c r="F254" s="104">
        <v>19.0</v>
      </c>
      <c r="G254" s="110" t="s">
        <v>238</v>
      </c>
      <c r="H254" s="112">
        <v>45856.0</v>
      </c>
      <c r="I254" s="110" t="s">
        <v>685</v>
      </c>
      <c r="J254" s="104">
        <v>0.0</v>
      </c>
      <c r="K254" s="110" t="s">
        <v>827</v>
      </c>
      <c r="L254" s="110" t="s">
        <v>828</v>
      </c>
    </row>
    <row r="255">
      <c r="A255" s="110" t="s">
        <v>686</v>
      </c>
      <c r="B255" s="104">
        <v>0.0</v>
      </c>
      <c r="C255" s="110" t="s">
        <v>331</v>
      </c>
      <c r="D255" s="110" t="s">
        <v>210</v>
      </c>
      <c r="E255" s="104">
        <v>0.0</v>
      </c>
      <c r="F255" s="104">
        <v>12.0</v>
      </c>
      <c r="G255" s="110" t="s">
        <v>218</v>
      </c>
      <c r="H255" s="112">
        <v>45979.0</v>
      </c>
      <c r="I255" s="110" t="s">
        <v>686</v>
      </c>
      <c r="J255" s="104">
        <v>0.0</v>
      </c>
      <c r="K255" s="110" t="s">
        <v>829</v>
      </c>
      <c r="L255" s="110" t="s">
        <v>830</v>
      </c>
    </row>
    <row r="256">
      <c r="A256" s="110" t="s">
        <v>687</v>
      </c>
      <c r="B256" s="104">
        <v>0.0</v>
      </c>
      <c r="C256" s="110" t="s">
        <v>562</v>
      </c>
      <c r="D256" s="110" t="s">
        <v>210</v>
      </c>
      <c r="E256" s="104">
        <v>0.0</v>
      </c>
      <c r="F256" s="104">
        <v>11.0</v>
      </c>
      <c r="G256" s="110" t="s">
        <v>238</v>
      </c>
      <c r="H256" s="112">
        <v>45855.0</v>
      </c>
      <c r="I256" s="110" t="s">
        <v>687</v>
      </c>
      <c r="J256" s="104">
        <v>0.0</v>
      </c>
      <c r="K256" s="110" t="s">
        <v>831</v>
      </c>
      <c r="L256" s="110" t="s">
        <v>832</v>
      </c>
    </row>
    <row r="257">
      <c r="A257" s="110" t="s">
        <v>689</v>
      </c>
      <c r="B257" s="104">
        <v>0.0</v>
      </c>
      <c r="C257" s="110" t="s">
        <v>209</v>
      </c>
      <c r="D257" s="110" t="s">
        <v>217</v>
      </c>
      <c r="E257" s="104">
        <v>0.0</v>
      </c>
      <c r="F257" s="104">
        <v>0.0</v>
      </c>
      <c r="G257" s="104">
        <v>0.0</v>
      </c>
      <c r="H257" s="104" t="s">
        <v>232</v>
      </c>
      <c r="I257" s="104">
        <v>0.0</v>
      </c>
      <c r="J257" s="104">
        <v>0.0</v>
      </c>
      <c r="K257" s="110" t="s">
        <v>833</v>
      </c>
      <c r="L257" s="110" t="s">
        <v>834</v>
      </c>
    </row>
    <row r="258">
      <c r="A258" s="110" t="s">
        <v>692</v>
      </c>
      <c r="B258" s="104">
        <v>0.0</v>
      </c>
      <c r="C258" s="110" t="s">
        <v>221</v>
      </c>
      <c r="D258" s="110" t="s">
        <v>322</v>
      </c>
      <c r="E258" s="104">
        <v>0.0</v>
      </c>
      <c r="F258" s="104">
        <v>5.73</v>
      </c>
      <c r="G258" s="110" t="s">
        <v>257</v>
      </c>
      <c r="H258" s="112">
        <v>45807.0</v>
      </c>
      <c r="I258" s="104">
        <v>0.0</v>
      </c>
      <c r="J258" s="104">
        <v>0.0</v>
      </c>
      <c r="K258" s="110" t="s">
        <v>835</v>
      </c>
      <c r="L258" s="110" t="s">
        <v>836</v>
      </c>
    </row>
    <row r="259">
      <c r="A259" s="110" t="s">
        <v>692</v>
      </c>
      <c r="B259" s="104">
        <v>0.0</v>
      </c>
      <c r="C259" s="110" t="s">
        <v>337</v>
      </c>
      <c r="D259" s="110" t="s">
        <v>322</v>
      </c>
      <c r="E259" s="104">
        <v>0.0</v>
      </c>
      <c r="F259" s="104">
        <v>12.13</v>
      </c>
      <c r="G259" s="110" t="s">
        <v>238</v>
      </c>
      <c r="H259" s="112">
        <v>45524.0</v>
      </c>
      <c r="I259" s="104">
        <v>0.0</v>
      </c>
      <c r="J259" s="104">
        <v>0.0</v>
      </c>
      <c r="K259" s="110" t="s">
        <v>837</v>
      </c>
      <c r="L259" s="110" t="s">
        <v>838</v>
      </c>
    </row>
    <row r="260">
      <c r="A260" s="110" t="s">
        <v>692</v>
      </c>
      <c r="B260" s="104">
        <v>0.0</v>
      </c>
      <c r="C260" s="110" t="s">
        <v>839</v>
      </c>
      <c r="D260" s="110" t="s">
        <v>322</v>
      </c>
      <c r="E260" s="104">
        <v>0.0</v>
      </c>
      <c r="F260" s="104">
        <v>2.76</v>
      </c>
      <c r="G260" s="110" t="s">
        <v>840</v>
      </c>
      <c r="H260" s="112">
        <v>45980.0</v>
      </c>
      <c r="I260" s="104">
        <v>0.0</v>
      </c>
      <c r="J260" s="104">
        <v>0.0</v>
      </c>
      <c r="K260" s="110" t="s">
        <v>841</v>
      </c>
      <c r="L260" s="110" t="s">
        <v>842</v>
      </c>
    </row>
    <row r="261">
      <c r="A261" s="110" t="s">
        <v>694</v>
      </c>
      <c r="B261" s="104">
        <v>0.0</v>
      </c>
      <c r="C261" s="110" t="s">
        <v>221</v>
      </c>
      <c r="D261" s="110" t="s">
        <v>322</v>
      </c>
      <c r="E261" s="104">
        <v>0.0</v>
      </c>
      <c r="F261" s="104">
        <v>5.73</v>
      </c>
      <c r="G261" s="110" t="s">
        <v>328</v>
      </c>
      <c r="H261" s="112">
        <v>45854.0</v>
      </c>
      <c r="I261" s="104">
        <v>0.0</v>
      </c>
      <c r="J261" s="104">
        <v>0.0</v>
      </c>
      <c r="K261" s="110" t="s">
        <v>843</v>
      </c>
      <c r="L261" s="110" t="s">
        <v>844</v>
      </c>
    </row>
    <row r="262">
      <c r="A262" s="110" t="s">
        <v>696</v>
      </c>
      <c r="B262" s="104">
        <v>0.0</v>
      </c>
      <c r="C262" s="110" t="s">
        <v>845</v>
      </c>
      <c r="D262" s="110" t="s">
        <v>322</v>
      </c>
      <c r="E262" s="104">
        <v>0.0</v>
      </c>
      <c r="F262" s="104">
        <v>5.05</v>
      </c>
      <c r="G262" s="104">
        <v>0.0</v>
      </c>
      <c r="H262" s="112">
        <v>44795.0</v>
      </c>
      <c r="I262" s="104">
        <v>0.0</v>
      </c>
      <c r="J262" s="104">
        <v>0.0</v>
      </c>
      <c r="K262" s="110" t="s">
        <v>846</v>
      </c>
      <c r="L262" s="110" t="s">
        <v>847</v>
      </c>
    </row>
    <row r="263">
      <c r="A263" s="110" t="s">
        <v>696</v>
      </c>
      <c r="B263" s="104">
        <v>0.0</v>
      </c>
      <c r="C263" s="110" t="s">
        <v>200</v>
      </c>
      <c r="D263" s="110" t="s">
        <v>322</v>
      </c>
      <c r="E263" s="104">
        <v>0.0</v>
      </c>
      <c r="F263" s="104">
        <v>6.17</v>
      </c>
      <c r="G263" s="104">
        <v>0.0</v>
      </c>
      <c r="H263" s="112">
        <v>44764.0</v>
      </c>
      <c r="I263" s="104">
        <v>0.0</v>
      </c>
      <c r="J263" s="104">
        <v>0.0</v>
      </c>
      <c r="K263" s="110" t="s">
        <v>848</v>
      </c>
      <c r="L263" s="110" t="s">
        <v>849</v>
      </c>
    </row>
    <row r="264">
      <c r="A264" s="110" t="s">
        <v>698</v>
      </c>
      <c r="B264" s="110" t="s">
        <v>850</v>
      </c>
      <c r="C264" s="110" t="s">
        <v>261</v>
      </c>
      <c r="D264" s="110" t="s">
        <v>322</v>
      </c>
      <c r="E264" s="104">
        <v>0.0</v>
      </c>
      <c r="F264" s="104">
        <v>5.2</v>
      </c>
      <c r="G264" s="110" t="s">
        <v>851</v>
      </c>
      <c r="H264" s="112">
        <v>45967.0</v>
      </c>
      <c r="I264" s="110" t="s">
        <v>692</v>
      </c>
      <c r="J264" s="104">
        <v>0.0</v>
      </c>
      <c r="K264" s="110" t="s">
        <v>852</v>
      </c>
      <c r="L264" s="110" t="s">
        <v>853</v>
      </c>
    </row>
    <row r="265">
      <c r="A265" s="110" t="s">
        <v>698</v>
      </c>
      <c r="B265" s="110" t="s">
        <v>850</v>
      </c>
      <c r="C265" s="110" t="s">
        <v>261</v>
      </c>
      <c r="D265" s="110" t="s">
        <v>322</v>
      </c>
      <c r="E265" s="104">
        <v>0.0</v>
      </c>
      <c r="F265" s="104">
        <v>4.85</v>
      </c>
      <c r="G265" s="110" t="s">
        <v>854</v>
      </c>
      <c r="H265" s="112">
        <v>44887.0</v>
      </c>
      <c r="I265" s="110" t="s">
        <v>696</v>
      </c>
      <c r="J265" s="104">
        <v>0.0</v>
      </c>
      <c r="K265" s="110" t="s">
        <v>852</v>
      </c>
      <c r="L265" s="110" t="s">
        <v>855</v>
      </c>
    </row>
    <row r="266">
      <c r="A266" s="110" t="s">
        <v>698</v>
      </c>
      <c r="B266" s="110" t="s">
        <v>850</v>
      </c>
      <c r="C266" s="110" t="s">
        <v>261</v>
      </c>
      <c r="D266" s="110" t="s">
        <v>322</v>
      </c>
      <c r="E266" s="104">
        <v>0.0</v>
      </c>
      <c r="F266" s="104">
        <v>4.08</v>
      </c>
      <c r="G266" s="110" t="s">
        <v>856</v>
      </c>
      <c r="H266" s="112">
        <v>45967.0</v>
      </c>
      <c r="I266" s="110" t="s">
        <v>692</v>
      </c>
      <c r="J266" s="104">
        <v>0.0</v>
      </c>
      <c r="K266" s="110" t="s">
        <v>852</v>
      </c>
      <c r="L266" s="110" t="s">
        <v>857</v>
      </c>
    </row>
    <row r="267">
      <c r="A267" s="110" t="s">
        <v>698</v>
      </c>
      <c r="B267" s="110" t="s">
        <v>850</v>
      </c>
      <c r="C267" s="110" t="s">
        <v>261</v>
      </c>
      <c r="D267" s="110" t="s">
        <v>322</v>
      </c>
      <c r="E267" s="104">
        <v>0.0</v>
      </c>
      <c r="F267" s="104">
        <v>3.53</v>
      </c>
      <c r="G267" s="110" t="s">
        <v>858</v>
      </c>
      <c r="H267" s="112">
        <v>45807.0</v>
      </c>
      <c r="I267" s="110" t="s">
        <v>692</v>
      </c>
      <c r="J267" s="104">
        <v>0.0</v>
      </c>
      <c r="K267" s="110" t="s">
        <v>852</v>
      </c>
      <c r="L267" s="110" t="s">
        <v>859</v>
      </c>
    </row>
    <row r="268">
      <c r="A268" s="110" t="s">
        <v>698</v>
      </c>
      <c r="B268" s="110" t="s">
        <v>850</v>
      </c>
      <c r="C268" s="110" t="s">
        <v>261</v>
      </c>
      <c r="D268" s="110" t="s">
        <v>322</v>
      </c>
      <c r="E268" s="104">
        <v>0.0</v>
      </c>
      <c r="F268" s="104">
        <v>3.31</v>
      </c>
      <c r="G268" s="110" t="s">
        <v>860</v>
      </c>
      <c r="H268" s="112">
        <v>45807.0</v>
      </c>
      <c r="I268" s="110" t="s">
        <v>692</v>
      </c>
      <c r="J268" s="104">
        <v>0.0</v>
      </c>
      <c r="K268" s="110" t="s">
        <v>852</v>
      </c>
      <c r="L268" s="110" t="s">
        <v>861</v>
      </c>
    </row>
    <row r="269">
      <c r="A269" s="110" t="s">
        <v>698</v>
      </c>
      <c r="B269" s="110" t="s">
        <v>850</v>
      </c>
      <c r="C269" s="110" t="s">
        <v>261</v>
      </c>
      <c r="D269" s="110" t="s">
        <v>322</v>
      </c>
      <c r="E269" s="104">
        <v>0.0</v>
      </c>
      <c r="F269" s="104">
        <v>4.41</v>
      </c>
      <c r="G269" s="110" t="s">
        <v>862</v>
      </c>
      <c r="H269" s="112">
        <v>45967.0</v>
      </c>
      <c r="I269" s="110" t="s">
        <v>692</v>
      </c>
      <c r="J269" s="104">
        <v>0.0</v>
      </c>
      <c r="K269" s="110" t="s">
        <v>852</v>
      </c>
      <c r="L269" s="110" t="s">
        <v>863</v>
      </c>
    </row>
    <row r="270">
      <c r="A270" s="110" t="s">
        <v>702</v>
      </c>
      <c r="B270" s="104">
        <v>0.0</v>
      </c>
      <c r="C270" s="110" t="s">
        <v>551</v>
      </c>
      <c r="D270" s="110" t="s">
        <v>544</v>
      </c>
      <c r="E270" s="104">
        <v>0.0</v>
      </c>
      <c r="F270" s="104">
        <v>37.04</v>
      </c>
      <c r="G270" s="110" t="s">
        <v>206</v>
      </c>
      <c r="H270" s="112">
        <v>45904.0</v>
      </c>
      <c r="I270" s="110" t="s">
        <v>702</v>
      </c>
      <c r="J270" s="104">
        <v>0.0</v>
      </c>
      <c r="K270" s="110" t="s">
        <v>864</v>
      </c>
      <c r="L270" s="110" t="s">
        <v>865</v>
      </c>
    </row>
    <row r="271">
      <c r="A271" s="110" t="s">
        <v>704</v>
      </c>
      <c r="B271" s="104">
        <v>0.0</v>
      </c>
      <c r="C271" s="110" t="s">
        <v>209</v>
      </c>
      <c r="D271" s="110" t="s">
        <v>210</v>
      </c>
      <c r="E271" s="104">
        <v>15.5</v>
      </c>
      <c r="F271" s="104">
        <v>15.5</v>
      </c>
      <c r="G271" s="110" t="s">
        <v>238</v>
      </c>
      <c r="H271" s="112">
        <v>45987.0</v>
      </c>
      <c r="I271" s="110" t="s">
        <v>704</v>
      </c>
      <c r="J271" s="104">
        <v>0.0</v>
      </c>
      <c r="K271" s="110" t="s">
        <v>866</v>
      </c>
      <c r="L271" s="110" t="s">
        <v>867</v>
      </c>
    </row>
    <row r="272">
      <c r="A272" s="110" t="s">
        <v>707</v>
      </c>
      <c r="B272" s="104">
        <v>0.0</v>
      </c>
      <c r="C272" s="110" t="s">
        <v>337</v>
      </c>
      <c r="D272" s="110" t="s">
        <v>210</v>
      </c>
      <c r="E272" s="104">
        <v>0.0</v>
      </c>
      <c r="F272" s="104">
        <v>16.5</v>
      </c>
      <c r="G272" s="110" t="s">
        <v>238</v>
      </c>
      <c r="H272" s="112">
        <v>45603.0</v>
      </c>
      <c r="I272" s="104">
        <v>0.0</v>
      </c>
      <c r="J272" s="104">
        <v>0.0</v>
      </c>
      <c r="K272" s="110" t="s">
        <v>868</v>
      </c>
      <c r="L272" s="110" t="s">
        <v>869</v>
      </c>
    </row>
    <row r="273">
      <c r="A273" s="110" t="s">
        <v>709</v>
      </c>
      <c r="B273" s="104">
        <v>0.0</v>
      </c>
      <c r="C273" s="110" t="s">
        <v>386</v>
      </c>
      <c r="D273" s="110" t="s">
        <v>210</v>
      </c>
      <c r="E273" s="104">
        <v>0.0</v>
      </c>
      <c r="F273" s="104">
        <v>17.5</v>
      </c>
      <c r="G273" s="110" t="s">
        <v>238</v>
      </c>
      <c r="H273" s="112">
        <v>45603.0</v>
      </c>
      <c r="I273" s="104">
        <v>0.0</v>
      </c>
      <c r="J273" s="104">
        <v>0.0</v>
      </c>
      <c r="K273" s="110" t="s">
        <v>870</v>
      </c>
      <c r="L273" s="110" t="s">
        <v>871</v>
      </c>
    </row>
    <row r="274">
      <c r="A274" s="110" t="s">
        <v>711</v>
      </c>
      <c r="B274" s="104">
        <v>0.0</v>
      </c>
      <c r="C274" s="110" t="s">
        <v>417</v>
      </c>
      <c r="D274" s="110" t="s">
        <v>205</v>
      </c>
      <c r="E274" s="104">
        <v>0.0</v>
      </c>
      <c r="F274" s="104">
        <v>14.0</v>
      </c>
      <c r="G274" s="110" t="s">
        <v>774</v>
      </c>
      <c r="H274" s="112">
        <v>45897.0</v>
      </c>
      <c r="I274" s="104">
        <v>0.0</v>
      </c>
      <c r="J274" s="104">
        <v>0.0</v>
      </c>
      <c r="K274" s="110" t="s">
        <v>872</v>
      </c>
      <c r="L274" s="110" t="s">
        <v>873</v>
      </c>
    </row>
    <row r="275">
      <c r="A275" s="110" t="s">
        <v>713</v>
      </c>
      <c r="B275" s="104">
        <v>0.0</v>
      </c>
      <c r="C275" s="110" t="s">
        <v>417</v>
      </c>
      <c r="D275" s="110" t="s">
        <v>201</v>
      </c>
      <c r="E275" s="104">
        <v>0.0</v>
      </c>
      <c r="F275" s="104">
        <v>24.25</v>
      </c>
      <c r="G275" s="104">
        <v>0.0</v>
      </c>
      <c r="H275" s="112">
        <v>45902.0</v>
      </c>
      <c r="I275" s="110" t="s">
        <v>713</v>
      </c>
      <c r="J275" s="104">
        <v>0.0</v>
      </c>
      <c r="K275" s="110" t="s">
        <v>874</v>
      </c>
      <c r="L275" s="110" t="s">
        <v>875</v>
      </c>
    </row>
    <row r="276">
      <c r="A276" s="110" t="s">
        <v>717</v>
      </c>
      <c r="B276" s="104">
        <v>0.0</v>
      </c>
      <c r="C276" s="110" t="s">
        <v>331</v>
      </c>
      <c r="D276" s="110" t="s">
        <v>210</v>
      </c>
      <c r="E276" s="104">
        <v>0.0</v>
      </c>
      <c r="F276" s="104">
        <v>38.0</v>
      </c>
      <c r="G276" s="110" t="s">
        <v>218</v>
      </c>
      <c r="H276" s="112">
        <v>45979.0</v>
      </c>
      <c r="I276" s="110" t="s">
        <v>717</v>
      </c>
      <c r="J276" s="104">
        <v>0.0</v>
      </c>
      <c r="K276" s="110" t="s">
        <v>876</v>
      </c>
      <c r="L276" s="110" t="s">
        <v>877</v>
      </c>
    </row>
    <row r="277">
      <c r="A277" s="110" t="s">
        <v>717</v>
      </c>
      <c r="B277" s="104">
        <v>0.0</v>
      </c>
      <c r="C277" s="110" t="s">
        <v>331</v>
      </c>
      <c r="D277" s="110" t="s">
        <v>210</v>
      </c>
      <c r="E277" s="104">
        <v>0.0</v>
      </c>
      <c r="F277" s="104">
        <v>42.0</v>
      </c>
      <c r="G277" s="110" t="s">
        <v>238</v>
      </c>
      <c r="H277" s="112">
        <v>45856.0</v>
      </c>
      <c r="I277" s="110" t="s">
        <v>717</v>
      </c>
      <c r="J277" s="104">
        <v>0.0</v>
      </c>
      <c r="K277" s="110" t="s">
        <v>876</v>
      </c>
      <c r="L277" s="110" t="s">
        <v>878</v>
      </c>
    </row>
    <row r="278">
      <c r="A278" s="110" t="s">
        <v>723</v>
      </c>
      <c r="B278" s="110" t="s">
        <v>723</v>
      </c>
      <c r="C278" s="110" t="s">
        <v>879</v>
      </c>
      <c r="D278" s="110" t="s">
        <v>267</v>
      </c>
      <c r="E278" s="104">
        <v>0.0</v>
      </c>
      <c r="F278" s="104">
        <v>0.0</v>
      </c>
      <c r="G278" s="104">
        <v>0.0</v>
      </c>
      <c r="H278" s="104" t="s">
        <v>232</v>
      </c>
      <c r="I278" s="104">
        <v>0.0</v>
      </c>
      <c r="J278" s="104">
        <v>0.0</v>
      </c>
      <c r="K278" s="110" t="s">
        <v>880</v>
      </c>
      <c r="L278" s="110" t="s">
        <v>881</v>
      </c>
    </row>
    <row r="279">
      <c r="A279" s="110" t="s">
        <v>725</v>
      </c>
      <c r="B279" s="104">
        <v>0.0</v>
      </c>
      <c r="C279" s="110" t="s">
        <v>317</v>
      </c>
      <c r="D279" s="110" t="s">
        <v>217</v>
      </c>
      <c r="E279" s="104">
        <v>0.0</v>
      </c>
      <c r="F279" s="104">
        <v>237.0</v>
      </c>
      <c r="G279" s="104">
        <v>0.0</v>
      </c>
      <c r="H279" s="112">
        <v>45874.0</v>
      </c>
      <c r="I279" s="104">
        <v>0.0</v>
      </c>
      <c r="J279" s="104">
        <v>0.0</v>
      </c>
      <c r="K279" s="110" t="s">
        <v>882</v>
      </c>
      <c r="L279" s="110" t="s">
        <v>883</v>
      </c>
    </row>
    <row r="280">
      <c r="A280" s="110" t="s">
        <v>727</v>
      </c>
      <c r="B280" s="104">
        <v>0.0</v>
      </c>
      <c r="C280" s="110" t="s">
        <v>884</v>
      </c>
      <c r="D280" s="110" t="s">
        <v>210</v>
      </c>
      <c r="E280" s="104">
        <v>0.0</v>
      </c>
      <c r="F280" s="104">
        <v>0.0</v>
      </c>
      <c r="G280" s="104">
        <v>0.0</v>
      </c>
      <c r="H280" s="104" t="s">
        <v>232</v>
      </c>
      <c r="I280" s="104">
        <v>0.0</v>
      </c>
      <c r="J280" s="104">
        <v>0.0</v>
      </c>
      <c r="K280" s="110" t="s">
        <v>885</v>
      </c>
      <c r="L280" s="110" t="s">
        <v>886</v>
      </c>
    </row>
    <row r="281">
      <c r="A281" s="110" t="s">
        <v>729</v>
      </c>
      <c r="B281" s="104">
        <v>0.0</v>
      </c>
      <c r="C281" s="110" t="s">
        <v>204</v>
      </c>
      <c r="D281" s="110" t="s">
        <v>205</v>
      </c>
      <c r="E281" s="104">
        <v>0.0</v>
      </c>
      <c r="F281" s="104">
        <v>0.0</v>
      </c>
      <c r="G281" s="104">
        <v>0.0</v>
      </c>
      <c r="H281" s="112">
        <v>45925.0</v>
      </c>
      <c r="I281" s="110" t="s">
        <v>729</v>
      </c>
      <c r="J281" s="104">
        <v>0.0</v>
      </c>
      <c r="K281" s="110" t="s">
        <v>887</v>
      </c>
      <c r="L281" s="110" t="s">
        <v>888</v>
      </c>
    </row>
    <row r="282">
      <c r="A282" s="110" t="s">
        <v>731</v>
      </c>
      <c r="B282" s="104">
        <v>0.0</v>
      </c>
      <c r="C282" s="110" t="s">
        <v>551</v>
      </c>
      <c r="D282" s="110" t="s">
        <v>552</v>
      </c>
      <c r="E282" s="104">
        <v>0.0</v>
      </c>
      <c r="F282" s="104">
        <v>32.85</v>
      </c>
      <c r="G282" s="110" t="s">
        <v>238</v>
      </c>
      <c r="H282" s="112">
        <v>45681.0</v>
      </c>
      <c r="I282" s="104">
        <v>0.0</v>
      </c>
      <c r="J282" s="104">
        <v>0.0</v>
      </c>
      <c r="K282" s="110" t="s">
        <v>889</v>
      </c>
      <c r="L282" s="110" t="s">
        <v>890</v>
      </c>
    </row>
    <row r="283">
      <c r="A283" s="110" t="s">
        <v>733</v>
      </c>
      <c r="B283" s="104">
        <v>0.0</v>
      </c>
      <c r="C283" s="110" t="s">
        <v>386</v>
      </c>
      <c r="D283" s="110" t="s">
        <v>217</v>
      </c>
      <c r="E283" s="104">
        <v>0.0</v>
      </c>
      <c r="F283" s="104">
        <v>195.0</v>
      </c>
      <c r="G283" s="110" t="s">
        <v>345</v>
      </c>
      <c r="H283" s="112">
        <v>45982.0</v>
      </c>
      <c r="I283" s="110" t="s">
        <v>733</v>
      </c>
      <c r="J283" s="104">
        <v>0.0</v>
      </c>
      <c r="K283" s="110" t="s">
        <v>891</v>
      </c>
      <c r="L283" s="110" t="s">
        <v>892</v>
      </c>
    </row>
    <row r="284">
      <c r="A284" s="110" t="s">
        <v>736</v>
      </c>
      <c r="B284" s="104">
        <v>0.0</v>
      </c>
      <c r="C284" s="110" t="s">
        <v>331</v>
      </c>
      <c r="D284" s="110" t="s">
        <v>217</v>
      </c>
      <c r="E284" s="104">
        <v>0.0</v>
      </c>
      <c r="F284" s="104">
        <v>185.0</v>
      </c>
      <c r="G284" s="110" t="s">
        <v>218</v>
      </c>
      <c r="H284" s="112">
        <v>45982.0</v>
      </c>
      <c r="I284" s="110" t="s">
        <v>736</v>
      </c>
      <c r="J284" s="104">
        <v>0.0</v>
      </c>
      <c r="K284" s="110" t="s">
        <v>893</v>
      </c>
      <c r="L284" s="110" t="s">
        <v>894</v>
      </c>
    </row>
    <row r="285">
      <c r="A285" s="110" t="s">
        <v>738</v>
      </c>
      <c r="B285" s="104">
        <v>0.0</v>
      </c>
      <c r="C285" s="110" t="s">
        <v>365</v>
      </c>
      <c r="D285" s="110" t="s">
        <v>201</v>
      </c>
      <c r="E285" s="104">
        <v>0.0</v>
      </c>
      <c r="F285" s="104">
        <v>0.0</v>
      </c>
      <c r="G285" s="104">
        <v>0.0</v>
      </c>
      <c r="H285" s="104" t="s">
        <v>232</v>
      </c>
      <c r="I285" s="104">
        <v>0.0</v>
      </c>
      <c r="J285" s="104">
        <v>0.0</v>
      </c>
      <c r="K285" s="110" t="s">
        <v>895</v>
      </c>
      <c r="L285" s="110" t="s">
        <v>896</v>
      </c>
    </row>
    <row r="286">
      <c r="A286" s="110" t="s">
        <v>740</v>
      </c>
      <c r="B286" s="104">
        <v>0.0</v>
      </c>
      <c r="C286" s="110" t="s">
        <v>266</v>
      </c>
      <c r="D286" s="110" t="s">
        <v>201</v>
      </c>
      <c r="E286" s="104">
        <v>0.0</v>
      </c>
      <c r="F286" s="104">
        <v>75.0</v>
      </c>
      <c r="G286" s="110" t="s">
        <v>268</v>
      </c>
      <c r="H286" s="112">
        <v>45930.0</v>
      </c>
      <c r="I286" s="104">
        <v>0.0</v>
      </c>
      <c r="J286" s="104">
        <v>0.0</v>
      </c>
      <c r="K286" s="110" t="s">
        <v>897</v>
      </c>
      <c r="L286" s="110" t="s">
        <v>898</v>
      </c>
    </row>
    <row r="287">
      <c r="A287" s="110" t="s">
        <v>746</v>
      </c>
      <c r="B287" s="104">
        <v>0.0</v>
      </c>
      <c r="C287" s="110" t="s">
        <v>899</v>
      </c>
      <c r="D287" s="110" t="s">
        <v>322</v>
      </c>
      <c r="E287" s="104">
        <v>0.0</v>
      </c>
      <c r="F287" s="104">
        <v>134.81</v>
      </c>
      <c r="G287" s="110" t="s">
        <v>218</v>
      </c>
      <c r="H287" s="112">
        <v>45925.0</v>
      </c>
      <c r="I287" s="110" t="s">
        <v>900</v>
      </c>
      <c r="J287" s="104">
        <v>0.0</v>
      </c>
      <c r="K287" s="110" t="s">
        <v>901</v>
      </c>
      <c r="L287" s="110" t="s">
        <v>902</v>
      </c>
    </row>
    <row r="288">
      <c r="A288" s="110" t="s">
        <v>746</v>
      </c>
      <c r="B288" s="104">
        <v>0.0</v>
      </c>
      <c r="C288" s="110" t="s">
        <v>899</v>
      </c>
      <c r="D288" s="110" t="s">
        <v>322</v>
      </c>
      <c r="E288" s="104">
        <v>0.0</v>
      </c>
      <c r="F288" s="104">
        <v>112.23</v>
      </c>
      <c r="G288" s="110" t="s">
        <v>334</v>
      </c>
      <c r="H288" s="112">
        <v>45925.0</v>
      </c>
      <c r="I288" s="110" t="s">
        <v>900</v>
      </c>
      <c r="J288" s="104">
        <v>0.0</v>
      </c>
      <c r="K288" s="110" t="s">
        <v>901</v>
      </c>
      <c r="L288" s="110" t="s">
        <v>903</v>
      </c>
    </row>
    <row r="289">
      <c r="A289" s="110" t="s">
        <v>746</v>
      </c>
      <c r="B289" s="104">
        <v>0.0</v>
      </c>
      <c r="C289" s="110" t="s">
        <v>899</v>
      </c>
      <c r="D289" s="110" t="s">
        <v>322</v>
      </c>
      <c r="E289" s="104">
        <v>0.0</v>
      </c>
      <c r="F289" s="104">
        <v>89.73</v>
      </c>
      <c r="G289" s="110" t="s">
        <v>373</v>
      </c>
      <c r="H289" s="112">
        <v>45925.0</v>
      </c>
      <c r="I289" s="110" t="s">
        <v>900</v>
      </c>
      <c r="J289" s="104">
        <v>0.0</v>
      </c>
      <c r="K289" s="110" t="s">
        <v>901</v>
      </c>
      <c r="L289" s="110" t="s">
        <v>904</v>
      </c>
    </row>
    <row r="290">
      <c r="A290" s="110" t="s">
        <v>748</v>
      </c>
      <c r="B290" s="110" t="s">
        <v>748</v>
      </c>
      <c r="C290" s="110" t="s">
        <v>325</v>
      </c>
      <c r="D290" s="110" t="s">
        <v>217</v>
      </c>
      <c r="E290" s="104">
        <v>0.0</v>
      </c>
      <c r="F290" s="104">
        <v>312.0</v>
      </c>
      <c r="G290" s="110" t="s">
        <v>218</v>
      </c>
      <c r="H290" s="112">
        <v>44887.0</v>
      </c>
      <c r="I290" s="104">
        <v>0.0</v>
      </c>
      <c r="J290" s="104">
        <v>0.0</v>
      </c>
      <c r="K290" s="110" t="s">
        <v>905</v>
      </c>
      <c r="L290" s="110" t="s">
        <v>906</v>
      </c>
    </row>
    <row r="291">
      <c r="A291" s="110" t="s">
        <v>750</v>
      </c>
      <c r="B291" s="104">
        <v>0.0</v>
      </c>
      <c r="C291" s="110" t="s">
        <v>657</v>
      </c>
      <c r="D291" s="110" t="s">
        <v>217</v>
      </c>
      <c r="E291" s="104">
        <v>0.0</v>
      </c>
      <c r="F291" s="104">
        <v>0.0</v>
      </c>
      <c r="G291" s="110" t="s">
        <v>238</v>
      </c>
      <c r="H291" s="112">
        <v>45825.0</v>
      </c>
      <c r="I291" s="104">
        <v>0.0</v>
      </c>
      <c r="J291" s="104">
        <v>0.0</v>
      </c>
      <c r="K291" s="110" t="s">
        <v>907</v>
      </c>
      <c r="L291" s="110" t="s">
        <v>908</v>
      </c>
    </row>
    <row r="292">
      <c r="A292" s="110" t="s">
        <v>752</v>
      </c>
      <c r="B292" s="104">
        <v>0.0</v>
      </c>
      <c r="C292" s="110" t="s">
        <v>337</v>
      </c>
      <c r="D292" s="110" t="s">
        <v>217</v>
      </c>
      <c r="E292" s="104">
        <v>0.0</v>
      </c>
      <c r="F292" s="104">
        <v>36.5</v>
      </c>
      <c r="G292" s="110" t="s">
        <v>238</v>
      </c>
      <c r="H292" s="112">
        <v>45884.0</v>
      </c>
      <c r="I292" s="110" t="s">
        <v>752</v>
      </c>
      <c r="J292" s="104">
        <v>0.0</v>
      </c>
      <c r="K292" s="110" t="s">
        <v>909</v>
      </c>
      <c r="L292" s="110" t="s">
        <v>910</v>
      </c>
    </row>
    <row r="293">
      <c r="A293" s="110" t="s">
        <v>752</v>
      </c>
      <c r="B293" s="104">
        <v>0.0</v>
      </c>
      <c r="C293" s="110" t="s">
        <v>337</v>
      </c>
      <c r="D293" s="110" t="s">
        <v>217</v>
      </c>
      <c r="E293" s="104">
        <v>0.0</v>
      </c>
      <c r="F293" s="104">
        <v>35.5</v>
      </c>
      <c r="G293" s="110" t="s">
        <v>413</v>
      </c>
      <c r="H293" s="112">
        <v>45884.0</v>
      </c>
      <c r="I293" s="110" t="s">
        <v>752</v>
      </c>
      <c r="J293" s="104">
        <v>0.0</v>
      </c>
      <c r="K293" s="110" t="s">
        <v>909</v>
      </c>
      <c r="L293" s="110" t="s">
        <v>911</v>
      </c>
    </row>
    <row r="294">
      <c r="A294" s="110" t="s">
        <v>752</v>
      </c>
      <c r="B294" s="104">
        <v>0.0</v>
      </c>
      <c r="C294" s="110" t="s">
        <v>261</v>
      </c>
      <c r="D294" s="110" t="s">
        <v>217</v>
      </c>
      <c r="E294" s="104">
        <v>0.0</v>
      </c>
      <c r="F294" s="104">
        <v>27.5</v>
      </c>
      <c r="G294" s="110" t="s">
        <v>238</v>
      </c>
      <c r="H294" s="112">
        <v>45827.0</v>
      </c>
      <c r="I294" s="110" t="s">
        <v>752</v>
      </c>
      <c r="J294" s="104">
        <v>0.0</v>
      </c>
      <c r="K294" s="110" t="s">
        <v>912</v>
      </c>
      <c r="L294" s="110" t="s">
        <v>913</v>
      </c>
    </row>
    <row r="295">
      <c r="A295" s="110" t="s">
        <v>752</v>
      </c>
      <c r="B295" s="104">
        <v>0.0</v>
      </c>
      <c r="C295" s="110" t="s">
        <v>261</v>
      </c>
      <c r="D295" s="110" t="s">
        <v>217</v>
      </c>
      <c r="E295" s="104">
        <v>0.0</v>
      </c>
      <c r="F295" s="104">
        <v>22.5</v>
      </c>
      <c r="G295" s="110" t="s">
        <v>334</v>
      </c>
      <c r="H295" s="112">
        <v>45827.0</v>
      </c>
      <c r="I295" s="110" t="s">
        <v>752</v>
      </c>
      <c r="J295" s="104">
        <v>0.0</v>
      </c>
      <c r="K295" s="110" t="s">
        <v>912</v>
      </c>
      <c r="L295" s="110" t="s">
        <v>914</v>
      </c>
    </row>
    <row r="296">
      <c r="A296" s="110" t="s">
        <v>755</v>
      </c>
      <c r="B296" s="104">
        <v>0.0</v>
      </c>
      <c r="C296" s="110" t="s">
        <v>386</v>
      </c>
      <c r="D296" s="110" t="s">
        <v>217</v>
      </c>
      <c r="E296" s="104">
        <v>0.0</v>
      </c>
      <c r="F296" s="104">
        <v>199.0</v>
      </c>
      <c r="G296" s="110" t="s">
        <v>211</v>
      </c>
      <c r="H296" s="112">
        <v>45663.0</v>
      </c>
      <c r="I296" s="104">
        <v>0.0</v>
      </c>
      <c r="J296" s="104">
        <v>0.0</v>
      </c>
      <c r="K296" s="110" t="s">
        <v>915</v>
      </c>
      <c r="L296" s="110" t="s">
        <v>916</v>
      </c>
    </row>
    <row r="297">
      <c r="A297" s="110" t="s">
        <v>757</v>
      </c>
      <c r="B297" s="104">
        <v>0.0</v>
      </c>
      <c r="C297" s="110" t="s">
        <v>209</v>
      </c>
      <c r="D297" s="110" t="s">
        <v>217</v>
      </c>
      <c r="E297" s="104">
        <v>0.0</v>
      </c>
      <c r="F297" s="104">
        <v>250.0</v>
      </c>
      <c r="G297" s="110" t="s">
        <v>302</v>
      </c>
      <c r="H297" s="112">
        <v>45985.0</v>
      </c>
      <c r="I297" s="110" t="s">
        <v>757</v>
      </c>
      <c r="J297" s="104">
        <v>0.0</v>
      </c>
      <c r="K297" s="110" t="s">
        <v>917</v>
      </c>
      <c r="L297" s="110" t="s">
        <v>918</v>
      </c>
    </row>
    <row r="298">
      <c r="A298" s="110" t="s">
        <v>759</v>
      </c>
      <c r="B298" s="110" t="s">
        <v>919</v>
      </c>
      <c r="C298" s="110" t="s">
        <v>720</v>
      </c>
      <c r="D298" s="110" t="s">
        <v>210</v>
      </c>
      <c r="E298" s="104">
        <v>0.0</v>
      </c>
      <c r="F298" s="104">
        <v>73.0</v>
      </c>
      <c r="G298" s="110" t="s">
        <v>721</v>
      </c>
      <c r="H298" s="112">
        <v>45741.0</v>
      </c>
      <c r="I298" s="104">
        <v>0.0</v>
      </c>
      <c r="J298" s="104">
        <v>0.0</v>
      </c>
      <c r="K298" s="110" t="s">
        <v>920</v>
      </c>
      <c r="L298" s="110" t="s">
        <v>921</v>
      </c>
    </row>
    <row r="299">
      <c r="A299" s="110" t="s">
        <v>759</v>
      </c>
      <c r="B299" s="110" t="s">
        <v>919</v>
      </c>
      <c r="C299" s="110" t="s">
        <v>720</v>
      </c>
      <c r="D299" s="110" t="s">
        <v>210</v>
      </c>
      <c r="E299" s="104">
        <v>0.0</v>
      </c>
      <c r="F299" s="104">
        <v>68.0</v>
      </c>
      <c r="G299" s="110" t="s">
        <v>724</v>
      </c>
      <c r="H299" s="112">
        <v>45741.0</v>
      </c>
      <c r="I299" s="104">
        <v>0.0</v>
      </c>
      <c r="J299" s="104">
        <v>0.0</v>
      </c>
      <c r="K299" s="110" t="s">
        <v>920</v>
      </c>
      <c r="L299" s="110" t="s">
        <v>922</v>
      </c>
    </row>
    <row r="300">
      <c r="A300" s="110" t="s">
        <v>759</v>
      </c>
      <c r="B300" s="110" t="s">
        <v>919</v>
      </c>
      <c r="C300" s="110" t="s">
        <v>720</v>
      </c>
      <c r="D300" s="110" t="s">
        <v>210</v>
      </c>
      <c r="E300" s="104">
        <v>0.0</v>
      </c>
      <c r="F300" s="104">
        <v>63.0</v>
      </c>
      <c r="G300" s="110" t="s">
        <v>726</v>
      </c>
      <c r="H300" s="112">
        <v>45741.0</v>
      </c>
      <c r="I300" s="104">
        <v>0.0</v>
      </c>
      <c r="J300" s="104">
        <v>0.0</v>
      </c>
      <c r="K300" s="110" t="s">
        <v>920</v>
      </c>
      <c r="L300" s="110" t="s">
        <v>923</v>
      </c>
    </row>
    <row r="301">
      <c r="A301" s="110" t="s">
        <v>759</v>
      </c>
      <c r="B301" s="110" t="s">
        <v>919</v>
      </c>
      <c r="C301" s="110" t="s">
        <v>720</v>
      </c>
      <c r="D301" s="110" t="s">
        <v>210</v>
      </c>
      <c r="E301" s="104">
        <v>0.0</v>
      </c>
      <c r="F301" s="104">
        <v>60.0</v>
      </c>
      <c r="G301" s="110" t="s">
        <v>728</v>
      </c>
      <c r="H301" s="112">
        <v>45741.0</v>
      </c>
      <c r="I301" s="104">
        <v>0.0</v>
      </c>
      <c r="J301" s="104">
        <v>0.0</v>
      </c>
      <c r="K301" s="110" t="s">
        <v>920</v>
      </c>
      <c r="L301" s="110" t="s">
        <v>924</v>
      </c>
    </row>
    <row r="302">
      <c r="A302" s="110" t="s">
        <v>761</v>
      </c>
      <c r="B302" s="104">
        <v>0.0</v>
      </c>
      <c r="C302" s="110" t="s">
        <v>925</v>
      </c>
      <c r="D302" s="110" t="s">
        <v>210</v>
      </c>
      <c r="E302" s="104">
        <v>0.0</v>
      </c>
      <c r="F302" s="104">
        <v>10.0</v>
      </c>
      <c r="G302" s="110" t="s">
        <v>238</v>
      </c>
      <c r="H302" s="112">
        <v>45980.0</v>
      </c>
      <c r="I302" s="110" t="s">
        <v>761</v>
      </c>
      <c r="J302" s="104">
        <v>0.0</v>
      </c>
      <c r="K302" s="110" t="s">
        <v>926</v>
      </c>
      <c r="L302" s="110" t="s">
        <v>927</v>
      </c>
    </row>
    <row r="303">
      <c r="A303" s="110" t="s">
        <v>763</v>
      </c>
      <c r="B303" s="104">
        <v>0.0</v>
      </c>
      <c r="C303" s="110" t="s">
        <v>720</v>
      </c>
      <c r="D303" s="110" t="s">
        <v>210</v>
      </c>
      <c r="E303" s="104">
        <v>0.0</v>
      </c>
      <c r="F303" s="104">
        <v>73.0</v>
      </c>
      <c r="G303" s="110" t="s">
        <v>211</v>
      </c>
      <c r="H303" s="112">
        <v>45979.0</v>
      </c>
      <c r="I303" s="110" t="s">
        <v>928</v>
      </c>
      <c r="J303" s="104">
        <v>0.0</v>
      </c>
      <c r="K303" s="110" t="s">
        <v>929</v>
      </c>
      <c r="L303" s="110" t="s">
        <v>930</v>
      </c>
    </row>
    <row r="304">
      <c r="A304" s="110" t="s">
        <v>766</v>
      </c>
      <c r="B304" s="104">
        <v>0.0</v>
      </c>
      <c r="C304" s="110" t="s">
        <v>209</v>
      </c>
      <c r="D304" s="110" t="s">
        <v>217</v>
      </c>
      <c r="E304" s="104">
        <v>0.0</v>
      </c>
      <c r="F304" s="104">
        <v>0.0</v>
      </c>
      <c r="G304" s="104">
        <v>0.0</v>
      </c>
      <c r="H304" s="104" t="s">
        <v>232</v>
      </c>
      <c r="I304" s="104">
        <v>0.0</v>
      </c>
      <c r="J304" s="104">
        <v>0.0</v>
      </c>
      <c r="K304" s="110" t="s">
        <v>931</v>
      </c>
      <c r="L304" s="110" t="s">
        <v>932</v>
      </c>
    </row>
    <row r="305">
      <c r="A305" s="110" t="s">
        <v>771</v>
      </c>
      <c r="B305" s="104">
        <v>0.0</v>
      </c>
      <c r="C305" s="110" t="s">
        <v>365</v>
      </c>
      <c r="D305" s="110" t="s">
        <v>612</v>
      </c>
      <c r="E305" s="104">
        <v>0.0</v>
      </c>
      <c r="F305" s="104">
        <v>0.0</v>
      </c>
      <c r="G305" s="104">
        <v>0.0</v>
      </c>
      <c r="H305" s="104" t="s">
        <v>232</v>
      </c>
      <c r="I305" s="104">
        <v>0.0</v>
      </c>
      <c r="J305" s="104">
        <v>0.0</v>
      </c>
      <c r="K305" s="110" t="s">
        <v>933</v>
      </c>
      <c r="L305" s="110" t="s">
        <v>934</v>
      </c>
    </row>
    <row r="306">
      <c r="A306" s="110" t="s">
        <v>773</v>
      </c>
      <c r="B306" s="104">
        <v>0.0</v>
      </c>
      <c r="C306" s="110" t="s">
        <v>221</v>
      </c>
      <c r="D306" s="104">
        <v>0.0</v>
      </c>
      <c r="E306" s="104">
        <v>0.0</v>
      </c>
      <c r="F306" s="104">
        <v>1.63</v>
      </c>
      <c r="G306" s="110" t="s">
        <v>257</v>
      </c>
      <c r="H306" s="112">
        <v>45807.0</v>
      </c>
      <c r="I306" s="104">
        <v>0.0</v>
      </c>
      <c r="J306" s="104">
        <v>0.0</v>
      </c>
      <c r="K306" s="110" t="s">
        <v>935</v>
      </c>
      <c r="L306" s="110" t="s">
        <v>936</v>
      </c>
    </row>
    <row r="307">
      <c r="A307" s="110" t="s">
        <v>776</v>
      </c>
      <c r="B307" s="104">
        <v>0.0</v>
      </c>
      <c r="C307" s="110" t="s">
        <v>221</v>
      </c>
      <c r="D307" s="104">
        <v>0.0</v>
      </c>
      <c r="E307" s="104">
        <v>0.0</v>
      </c>
      <c r="F307" s="104">
        <v>1.68</v>
      </c>
      <c r="G307" s="110" t="s">
        <v>937</v>
      </c>
      <c r="H307" s="112">
        <v>45807.0</v>
      </c>
      <c r="I307" s="104">
        <v>0.0</v>
      </c>
      <c r="J307" s="104">
        <v>0.0</v>
      </c>
      <c r="K307" s="110" t="s">
        <v>938</v>
      </c>
      <c r="L307" s="110" t="s">
        <v>939</v>
      </c>
    </row>
    <row r="308">
      <c r="A308" s="110" t="s">
        <v>779</v>
      </c>
      <c r="B308" s="104">
        <v>0.0</v>
      </c>
      <c r="C308" s="110" t="s">
        <v>221</v>
      </c>
      <c r="D308" s="110" t="s">
        <v>226</v>
      </c>
      <c r="E308" s="104">
        <v>0.0</v>
      </c>
      <c r="F308" s="104">
        <v>1.63</v>
      </c>
      <c r="G308" s="110" t="s">
        <v>940</v>
      </c>
      <c r="H308" s="112">
        <v>45854.0</v>
      </c>
      <c r="I308" s="104">
        <v>0.0</v>
      </c>
      <c r="J308" s="104">
        <v>0.0</v>
      </c>
      <c r="K308" s="110" t="s">
        <v>941</v>
      </c>
      <c r="L308" s="110" t="s">
        <v>942</v>
      </c>
    </row>
    <row r="309">
      <c r="A309" s="110" t="s">
        <v>783</v>
      </c>
      <c r="B309" s="104">
        <v>0.0</v>
      </c>
      <c r="C309" s="110" t="s">
        <v>221</v>
      </c>
      <c r="D309" s="110" t="s">
        <v>226</v>
      </c>
      <c r="E309" s="104">
        <v>0.0</v>
      </c>
      <c r="F309" s="104">
        <v>1.68</v>
      </c>
      <c r="G309" s="110" t="s">
        <v>943</v>
      </c>
      <c r="H309" s="112">
        <v>45854.0</v>
      </c>
      <c r="I309" s="104">
        <v>0.0</v>
      </c>
      <c r="J309" s="104">
        <v>0.0</v>
      </c>
      <c r="K309" s="110" t="s">
        <v>944</v>
      </c>
      <c r="L309" s="110" t="s">
        <v>945</v>
      </c>
    </row>
    <row r="310">
      <c r="A310" s="110" t="s">
        <v>785</v>
      </c>
      <c r="B310" s="104">
        <v>0.0</v>
      </c>
      <c r="C310" s="110" t="s">
        <v>247</v>
      </c>
      <c r="D310" s="110" t="s">
        <v>210</v>
      </c>
      <c r="E310" s="104">
        <v>0.0</v>
      </c>
      <c r="F310" s="104">
        <v>0.0</v>
      </c>
      <c r="G310" s="104">
        <v>0.0</v>
      </c>
      <c r="H310" s="104" t="s">
        <v>232</v>
      </c>
      <c r="I310" s="104">
        <v>0.0</v>
      </c>
      <c r="J310" s="104">
        <v>0.0</v>
      </c>
      <c r="K310" s="110" t="s">
        <v>946</v>
      </c>
      <c r="L310" s="110" t="s">
        <v>947</v>
      </c>
    </row>
    <row r="311">
      <c r="A311" s="110" t="s">
        <v>787</v>
      </c>
      <c r="B311" s="104">
        <v>0.0</v>
      </c>
      <c r="C311" s="110" t="s">
        <v>468</v>
      </c>
      <c r="D311" s="110" t="s">
        <v>210</v>
      </c>
      <c r="E311" s="104">
        <v>0.0</v>
      </c>
      <c r="F311" s="104">
        <v>32.5</v>
      </c>
      <c r="G311" s="110" t="s">
        <v>218</v>
      </c>
      <c r="H311" s="112">
        <v>45936.0</v>
      </c>
      <c r="I311" s="110" t="s">
        <v>787</v>
      </c>
      <c r="J311" s="104">
        <v>0.0</v>
      </c>
      <c r="K311" s="110" t="s">
        <v>948</v>
      </c>
      <c r="L311" s="110" t="s">
        <v>949</v>
      </c>
    </row>
    <row r="312">
      <c r="A312" s="110" t="s">
        <v>789</v>
      </c>
      <c r="B312" s="104">
        <v>0.0</v>
      </c>
      <c r="C312" s="110" t="s">
        <v>845</v>
      </c>
      <c r="D312" s="110" t="s">
        <v>612</v>
      </c>
      <c r="E312" s="104">
        <v>0.0</v>
      </c>
      <c r="F312" s="104">
        <v>8.49</v>
      </c>
      <c r="G312" s="104">
        <v>0.0</v>
      </c>
      <c r="H312" s="112">
        <v>44826.0</v>
      </c>
      <c r="I312" s="104">
        <v>0.0</v>
      </c>
      <c r="J312" s="104">
        <v>0.0</v>
      </c>
      <c r="K312" s="110" t="s">
        <v>950</v>
      </c>
      <c r="L312" s="110" t="s">
        <v>951</v>
      </c>
    </row>
    <row r="313">
      <c r="A313" s="110" t="s">
        <v>790</v>
      </c>
      <c r="B313" s="104">
        <v>0.0</v>
      </c>
      <c r="C313" s="110" t="s">
        <v>618</v>
      </c>
      <c r="D313" s="110" t="s">
        <v>217</v>
      </c>
      <c r="E313" s="104">
        <v>0.0</v>
      </c>
      <c r="F313" s="104">
        <v>6.19</v>
      </c>
      <c r="G313" s="110" t="s">
        <v>238</v>
      </c>
      <c r="H313" s="112">
        <v>45707.0</v>
      </c>
      <c r="I313" s="104">
        <v>0.0</v>
      </c>
      <c r="J313" s="104">
        <v>0.0</v>
      </c>
      <c r="K313" s="110" t="s">
        <v>952</v>
      </c>
      <c r="L313" s="110" t="s">
        <v>953</v>
      </c>
    </row>
    <row r="314">
      <c r="A314" s="110" t="s">
        <v>792</v>
      </c>
      <c r="B314" s="104">
        <v>0.0</v>
      </c>
      <c r="C314" s="110" t="s">
        <v>209</v>
      </c>
      <c r="D314" s="110" t="s">
        <v>217</v>
      </c>
      <c r="E314" s="104">
        <v>0.0</v>
      </c>
      <c r="F314" s="104">
        <v>0.0</v>
      </c>
      <c r="G314" s="104">
        <v>0.0</v>
      </c>
      <c r="H314" s="104" t="s">
        <v>232</v>
      </c>
      <c r="I314" s="104">
        <v>0.0</v>
      </c>
      <c r="J314" s="104">
        <v>0.0</v>
      </c>
      <c r="K314" s="110" t="s">
        <v>954</v>
      </c>
      <c r="L314" s="110" t="s">
        <v>955</v>
      </c>
    </row>
    <row r="315">
      <c r="A315" s="110" t="s">
        <v>794</v>
      </c>
      <c r="B315" s="104">
        <v>0.0</v>
      </c>
      <c r="C315" s="110" t="s">
        <v>657</v>
      </c>
      <c r="D315" s="110" t="s">
        <v>217</v>
      </c>
      <c r="E315" s="104">
        <v>0.0</v>
      </c>
      <c r="F315" s="104">
        <v>0.0</v>
      </c>
      <c r="G315" s="110" t="s">
        <v>238</v>
      </c>
      <c r="H315" s="112">
        <v>45825.0</v>
      </c>
      <c r="I315" s="104">
        <v>0.0</v>
      </c>
      <c r="J315" s="104">
        <v>0.0</v>
      </c>
      <c r="K315" s="110" t="s">
        <v>956</v>
      </c>
      <c r="L315" s="110" t="s">
        <v>957</v>
      </c>
    </row>
    <row r="316">
      <c r="A316" s="110" t="s">
        <v>796</v>
      </c>
      <c r="B316" s="104">
        <v>0.0</v>
      </c>
      <c r="C316" s="110" t="s">
        <v>200</v>
      </c>
      <c r="D316" s="110" t="s">
        <v>217</v>
      </c>
      <c r="E316" s="104">
        <v>0.0</v>
      </c>
      <c r="F316" s="104">
        <v>8.0</v>
      </c>
      <c r="G316" s="110" t="s">
        <v>334</v>
      </c>
      <c r="H316" s="112">
        <v>45667.0</v>
      </c>
      <c r="I316" s="104">
        <v>0.0</v>
      </c>
      <c r="J316" s="104">
        <v>0.0</v>
      </c>
      <c r="K316" s="110" t="s">
        <v>958</v>
      </c>
      <c r="L316" s="110" t="s">
        <v>959</v>
      </c>
    </row>
    <row r="317">
      <c r="A317" s="110" t="s">
        <v>798</v>
      </c>
      <c r="B317" s="104">
        <v>0.0</v>
      </c>
      <c r="C317" s="110" t="s">
        <v>365</v>
      </c>
      <c r="D317" s="110" t="s">
        <v>217</v>
      </c>
      <c r="E317" s="104">
        <v>0.0</v>
      </c>
      <c r="F317" s="104">
        <v>0.0</v>
      </c>
      <c r="G317" s="104">
        <v>0.0</v>
      </c>
      <c r="H317" s="104" t="s">
        <v>232</v>
      </c>
      <c r="I317" s="104">
        <v>0.0</v>
      </c>
      <c r="J317" s="104">
        <v>0.0</v>
      </c>
      <c r="K317" s="110" t="s">
        <v>960</v>
      </c>
      <c r="L317" s="110" t="s">
        <v>961</v>
      </c>
    </row>
    <row r="318">
      <c r="A318" s="110" t="s">
        <v>798</v>
      </c>
      <c r="B318" s="104">
        <v>0.0</v>
      </c>
      <c r="C318" s="110" t="s">
        <v>365</v>
      </c>
      <c r="D318" s="110" t="s">
        <v>217</v>
      </c>
      <c r="E318" s="104">
        <v>0.0</v>
      </c>
      <c r="F318" s="104">
        <v>24.5</v>
      </c>
      <c r="G318" s="104">
        <v>0.0</v>
      </c>
      <c r="H318" s="112">
        <v>44734.0</v>
      </c>
      <c r="I318" s="104">
        <v>0.0</v>
      </c>
      <c r="J318" s="104">
        <v>0.0</v>
      </c>
      <c r="K318" s="110" t="s">
        <v>960</v>
      </c>
      <c r="L318" s="110" t="s">
        <v>962</v>
      </c>
    </row>
    <row r="319">
      <c r="A319" s="110" t="s">
        <v>798</v>
      </c>
      <c r="B319" s="104">
        <v>0.0</v>
      </c>
      <c r="C319" s="110" t="s">
        <v>963</v>
      </c>
      <c r="D319" s="110" t="s">
        <v>217</v>
      </c>
      <c r="E319" s="104">
        <v>0.0</v>
      </c>
      <c r="F319" s="104">
        <v>25.0</v>
      </c>
      <c r="G319" s="104">
        <v>0.0</v>
      </c>
      <c r="H319" s="112">
        <v>44734.0</v>
      </c>
      <c r="I319" s="104">
        <v>0.0</v>
      </c>
      <c r="J319" s="104">
        <v>0.0</v>
      </c>
      <c r="K319" s="110" t="s">
        <v>964</v>
      </c>
      <c r="L319" s="110" t="s">
        <v>965</v>
      </c>
    </row>
    <row r="320">
      <c r="A320" s="110" t="s">
        <v>798</v>
      </c>
      <c r="B320" s="104">
        <v>0.0</v>
      </c>
      <c r="C320" s="110" t="s">
        <v>209</v>
      </c>
      <c r="D320" s="110" t="s">
        <v>217</v>
      </c>
      <c r="E320" s="104">
        <v>0.0</v>
      </c>
      <c r="F320" s="104">
        <v>27.0</v>
      </c>
      <c r="G320" s="104">
        <v>0.0</v>
      </c>
      <c r="H320" s="112">
        <v>44734.0</v>
      </c>
      <c r="I320" s="104">
        <v>0.0</v>
      </c>
      <c r="J320" s="104">
        <v>0.0</v>
      </c>
      <c r="K320" s="110" t="s">
        <v>966</v>
      </c>
      <c r="L320" s="110" t="s">
        <v>967</v>
      </c>
    </row>
    <row r="321">
      <c r="A321" s="110" t="s">
        <v>801</v>
      </c>
      <c r="B321" s="104">
        <v>0.0</v>
      </c>
      <c r="C321" s="110" t="s">
        <v>209</v>
      </c>
      <c r="D321" s="110" t="s">
        <v>217</v>
      </c>
      <c r="E321" s="104">
        <v>0.0</v>
      </c>
      <c r="F321" s="104">
        <v>0.0</v>
      </c>
      <c r="G321" s="104">
        <v>0.0</v>
      </c>
      <c r="H321" s="104" t="s">
        <v>232</v>
      </c>
      <c r="I321" s="104">
        <v>0.0</v>
      </c>
      <c r="J321" s="104">
        <v>0.0</v>
      </c>
      <c r="K321" s="110" t="s">
        <v>968</v>
      </c>
      <c r="L321" s="110" t="s">
        <v>969</v>
      </c>
    </row>
    <row r="322">
      <c r="A322" s="110" t="s">
        <v>803</v>
      </c>
      <c r="B322" s="104">
        <v>0.0</v>
      </c>
      <c r="C322" s="110" t="s">
        <v>266</v>
      </c>
      <c r="D322" s="110" t="s">
        <v>267</v>
      </c>
      <c r="E322" s="104">
        <v>0.0</v>
      </c>
      <c r="F322" s="104">
        <v>4.5</v>
      </c>
      <c r="G322" s="110" t="s">
        <v>268</v>
      </c>
      <c r="H322" s="112">
        <v>45930.0</v>
      </c>
      <c r="I322" s="104">
        <v>0.0</v>
      </c>
      <c r="J322" s="104">
        <v>0.0</v>
      </c>
      <c r="K322" s="110" t="s">
        <v>970</v>
      </c>
      <c r="L322" s="110" t="s">
        <v>971</v>
      </c>
    </row>
    <row r="323">
      <c r="A323" s="110" t="s">
        <v>805</v>
      </c>
      <c r="B323" s="104">
        <v>0.0</v>
      </c>
      <c r="C323" s="110" t="s">
        <v>261</v>
      </c>
      <c r="D323" s="110" t="s">
        <v>267</v>
      </c>
      <c r="E323" s="104">
        <v>0.0</v>
      </c>
      <c r="F323" s="104">
        <v>8.95</v>
      </c>
      <c r="G323" s="110" t="s">
        <v>268</v>
      </c>
      <c r="H323" s="112">
        <v>45888.0</v>
      </c>
      <c r="I323" s="110" t="s">
        <v>805</v>
      </c>
      <c r="J323" s="104">
        <v>0.0</v>
      </c>
      <c r="K323" s="110" t="s">
        <v>972</v>
      </c>
      <c r="L323" s="110" t="s">
        <v>973</v>
      </c>
    </row>
    <row r="324">
      <c r="A324" s="110" t="s">
        <v>805</v>
      </c>
      <c r="B324" s="104">
        <v>0.0</v>
      </c>
      <c r="C324" s="110" t="s">
        <v>261</v>
      </c>
      <c r="D324" s="110" t="s">
        <v>267</v>
      </c>
      <c r="E324" s="104">
        <v>0.0</v>
      </c>
      <c r="F324" s="104">
        <v>8.0</v>
      </c>
      <c r="G324" s="110" t="s">
        <v>974</v>
      </c>
      <c r="H324" s="112">
        <v>45888.0</v>
      </c>
      <c r="I324" s="110" t="s">
        <v>805</v>
      </c>
      <c r="J324" s="104">
        <v>0.0</v>
      </c>
      <c r="K324" s="110" t="s">
        <v>972</v>
      </c>
      <c r="L324" s="110" t="s">
        <v>975</v>
      </c>
    </row>
    <row r="325">
      <c r="A325" s="110" t="s">
        <v>805</v>
      </c>
      <c r="B325" s="104">
        <v>0.0</v>
      </c>
      <c r="C325" s="110" t="s">
        <v>261</v>
      </c>
      <c r="D325" s="110" t="s">
        <v>267</v>
      </c>
      <c r="E325" s="104">
        <v>0.0</v>
      </c>
      <c r="F325" s="104">
        <v>7.48</v>
      </c>
      <c r="G325" s="110" t="s">
        <v>688</v>
      </c>
      <c r="H325" s="112">
        <v>45891.0</v>
      </c>
      <c r="I325" s="110" t="s">
        <v>805</v>
      </c>
      <c r="J325" s="104">
        <v>0.0</v>
      </c>
      <c r="K325" s="110" t="s">
        <v>972</v>
      </c>
      <c r="L325" s="110" t="s">
        <v>976</v>
      </c>
    </row>
    <row r="326">
      <c r="A326" s="110" t="s">
        <v>807</v>
      </c>
      <c r="B326" s="104">
        <v>0.0</v>
      </c>
      <c r="C326" s="110" t="s">
        <v>317</v>
      </c>
      <c r="D326" s="110" t="s">
        <v>201</v>
      </c>
      <c r="E326" s="104">
        <v>0.0</v>
      </c>
      <c r="F326" s="104">
        <v>6.2</v>
      </c>
      <c r="G326" s="110" t="s">
        <v>977</v>
      </c>
      <c r="H326" s="112">
        <v>45874.0</v>
      </c>
      <c r="I326" s="110" t="s">
        <v>807</v>
      </c>
      <c r="J326" s="104">
        <v>0.0</v>
      </c>
      <c r="K326" s="110" t="s">
        <v>978</v>
      </c>
      <c r="L326" s="110" t="s">
        <v>979</v>
      </c>
    </row>
    <row r="327">
      <c r="A327" s="110" t="s">
        <v>807</v>
      </c>
      <c r="B327" s="104">
        <v>0.0</v>
      </c>
      <c r="C327" s="110" t="s">
        <v>317</v>
      </c>
      <c r="D327" s="110" t="s">
        <v>201</v>
      </c>
      <c r="E327" s="104">
        <v>0.0</v>
      </c>
      <c r="F327" s="104">
        <v>6.1</v>
      </c>
      <c r="G327" s="110" t="s">
        <v>980</v>
      </c>
      <c r="H327" s="112">
        <v>45874.0</v>
      </c>
      <c r="I327" s="110" t="s">
        <v>807</v>
      </c>
      <c r="J327" s="104">
        <v>0.0</v>
      </c>
      <c r="K327" s="110" t="s">
        <v>978</v>
      </c>
      <c r="L327" s="110" t="s">
        <v>981</v>
      </c>
    </row>
    <row r="328">
      <c r="A328" s="110" t="s">
        <v>807</v>
      </c>
      <c r="B328" s="104">
        <v>0.0</v>
      </c>
      <c r="C328" s="110" t="s">
        <v>317</v>
      </c>
      <c r="D328" s="110" t="s">
        <v>201</v>
      </c>
      <c r="E328" s="104">
        <v>0.0</v>
      </c>
      <c r="F328" s="104">
        <v>6.0</v>
      </c>
      <c r="G328" s="110" t="s">
        <v>982</v>
      </c>
      <c r="H328" s="112">
        <v>45874.0</v>
      </c>
      <c r="I328" s="110" t="s">
        <v>807</v>
      </c>
      <c r="J328" s="104">
        <v>0.0</v>
      </c>
      <c r="K328" s="110" t="s">
        <v>978</v>
      </c>
      <c r="L328" s="110" t="s">
        <v>983</v>
      </c>
    </row>
    <row r="329">
      <c r="A329" s="110" t="s">
        <v>809</v>
      </c>
      <c r="B329" s="104">
        <v>0.0</v>
      </c>
      <c r="C329" s="110" t="s">
        <v>247</v>
      </c>
      <c r="D329" s="110" t="s">
        <v>210</v>
      </c>
      <c r="E329" s="104">
        <v>0.0</v>
      </c>
      <c r="F329" s="104">
        <v>0.0</v>
      </c>
      <c r="G329" s="104">
        <v>0.0</v>
      </c>
      <c r="H329" s="104" t="s">
        <v>232</v>
      </c>
      <c r="I329" s="104">
        <v>0.0</v>
      </c>
      <c r="J329" s="104">
        <v>0.0</v>
      </c>
      <c r="K329" s="110" t="s">
        <v>984</v>
      </c>
      <c r="L329" s="110" t="s">
        <v>985</v>
      </c>
    </row>
    <row r="330">
      <c r="A330" s="110" t="s">
        <v>811</v>
      </c>
      <c r="B330" s="104">
        <v>0.0</v>
      </c>
      <c r="C330" s="110" t="s">
        <v>209</v>
      </c>
      <c r="D330" s="110" t="s">
        <v>217</v>
      </c>
      <c r="E330" s="104">
        <v>0.0</v>
      </c>
      <c r="F330" s="104">
        <v>1950.0</v>
      </c>
      <c r="G330" s="110" t="s">
        <v>986</v>
      </c>
      <c r="H330" s="112">
        <v>45846.0</v>
      </c>
      <c r="I330" s="110" t="s">
        <v>811</v>
      </c>
      <c r="J330" s="104">
        <v>0.0</v>
      </c>
      <c r="K330" s="110" t="s">
        <v>987</v>
      </c>
      <c r="L330" s="110" t="s">
        <v>988</v>
      </c>
    </row>
    <row r="331">
      <c r="A331" s="110" t="s">
        <v>811</v>
      </c>
      <c r="B331" s="104">
        <v>0.0</v>
      </c>
      <c r="C331" s="110" t="s">
        <v>209</v>
      </c>
      <c r="D331" s="110" t="s">
        <v>217</v>
      </c>
      <c r="E331" s="104">
        <v>1925.0</v>
      </c>
      <c r="F331" s="104">
        <v>1925.0</v>
      </c>
      <c r="G331" s="110" t="s">
        <v>989</v>
      </c>
      <c r="H331" s="112">
        <v>45987.0</v>
      </c>
      <c r="I331" s="110" t="s">
        <v>811</v>
      </c>
      <c r="J331" s="104">
        <v>0.0</v>
      </c>
      <c r="K331" s="110" t="s">
        <v>987</v>
      </c>
      <c r="L331" s="110" t="s">
        <v>990</v>
      </c>
    </row>
    <row r="332">
      <c r="A332" s="110" t="s">
        <v>813</v>
      </c>
      <c r="B332" s="104">
        <v>0.0</v>
      </c>
      <c r="C332" s="110" t="s">
        <v>337</v>
      </c>
      <c r="D332" s="110" t="s">
        <v>217</v>
      </c>
      <c r="E332" s="104">
        <v>0.0</v>
      </c>
      <c r="F332" s="104">
        <v>2300.0</v>
      </c>
      <c r="G332" s="110" t="s">
        <v>211</v>
      </c>
      <c r="H332" s="112">
        <v>45846.0</v>
      </c>
      <c r="I332" s="110" t="s">
        <v>813</v>
      </c>
      <c r="J332" s="104">
        <v>0.0</v>
      </c>
      <c r="K332" s="110" t="s">
        <v>991</v>
      </c>
      <c r="L332" s="110" t="s">
        <v>992</v>
      </c>
    </row>
    <row r="333">
      <c r="A333" s="110" t="s">
        <v>814</v>
      </c>
      <c r="B333" s="104">
        <v>0.0</v>
      </c>
      <c r="C333" s="110" t="s">
        <v>993</v>
      </c>
      <c r="D333" s="110" t="s">
        <v>217</v>
      </c>
      <c r="E333" s="104">
        <v>0.0</v>
      </c>
      <c r="F333" s="104">
        <v>1000.0</v>
      </c>
      <c r="G333" s="110" t="s">
        <v>994</v>
      </c>
      <c r="H333" s="112">
        <v>45707.0</v>
      </c>
      <c r="I333" s="104">
        <v>0.0</v>
      </c>
      <c r="J333" s="104">
        <v>0.0</v>
      </c>
      <c r="K333" s="110" t="s">
        <v>995</v>
      </c>
      <c r="L333" s="110" t="s">
        <v>996</v>
      </c>
    </row>
    <row r="334">
      <c r="A334" s="110" t="s">
        <v>816</v>
      </c>
      <c r="B334" s="104">
        <v>0.0</v>
      </c>
      <c r="C334" s="110" t="s">
        <v>317</v>
      </c>
      <c r="D334" s="110" t="s">
        <v>210</v>
      </c>
      <c r="E334" s="104">
        <v>0.0</v>
      </c>
      <c r="F334" s="104">
        <v>1000.0</v>
      </c>
      <c r="G334" s="104">
        <v>0.0</v>
      </c>
      <c r="H334" s="112">
        <v>45874.0</v>
      </c>
      <c r="I334" s="104">
        <v>0.0</v>
      </c>
      <c r="J334" s="104">
        <v>0.0</v>
      </c>
      <c r="K334" s="110" t="s">
        <v>997</v>
      </c>
      <c r="L334" s="110" t="s">
        <v>998</v>
      </c>
    </row>
    <row r="335">
      <c r="A335" s="110" t="s">
        <v>818</v>
      </c>
      <c r="B335" s="104">
        <v>0.0</v>
      </c>
      <c r="C335" s="110" t="s">
        <v>845</v>
      </c>
      <c r="D335" s="110" t="s">
        <v>612</v>
      </c>
      <c r="E335" s="104">
        <v>0.0</v>
      </c>
      <c r="F335" s="104">
        <v>4.07</v>
      </c>
      <c r="G335" s="104">
        <v>0.0</v>
      </c>
      <c r="H335" s="112">
        <v>44826.0</v>
      </c>
      <c r="I335" s="104">
        <v>0.0</v>
      </c>
      <c r="J335" s="104">
        <v>0.0</v>
      </c>
      <c r="K335" s="110" t="s">
        <v>999</v>
      </c>
      <c r="L335" s="110" t="s">
        <v>1000</v>
      </c>
    </row>
    <row r="336">
      <c r="A336" s="110" t="s">
        <v>820</v>
      </c>
      <c r="B336" s="104">
        <v>0.0</v>
      </c>
      <c r="C336" s="110" t="s">
        <v>209</v>
      </c>
      <c r="D336" s="110" t="s">
        <v>217</v>
      </c>
      <c r="E336" s="104">
        <v>0.0</v>
      </c>
      <c r="F336" s="104">
        <v>57.5</v>
      </c>
      <c r="G336" s="110" t="s">
        <v>238</v>
      </c>
      <c r="H336" s="112">
        <v>45915.0</v>
      </c>
      <c r="I336" s="110" t="s">
        <v>820</v>
      </c>
      <c r="J336" s="104">
        <v>0.0</v>
      </c>
      <c r="K336" s="110" t="s">
        <v>1001</v>
      </c>
      <c r="L336" s="110" t="s">
        <v>1002</v>
      </c>
    </row>
    <row r="337">
      <c r="A337" s="110" t="s">
        <v>823</v>
      </c>
      <c r="B337" s="104">
        <v>0.0</v>
      </c>
      <c r="C337" s="110" t="s">
        <v>337</v>
      </c>
      <c r="D337" s="110" t="s">
        <v>217</v>
      </c>
      <c r="E337" s="104">
        <v>0.0</v>
      </c>
      <c r="F337" s="104">
        <v>96.0</v>
      </c>
      <c r="G337" s="110" t="s">
        <v>238</v>
      </c>
      <c r="H337" s="112">
        <v>45603.0</v>
      </c>
      <c r="I337" s="104">
        <v>0.0</v>
      </c>
      <c r="J337" s="104">
        <v>0.0</v>
      </c>
      <c r="K337" s="110" t="s">
        <v>1003</v>
      </c>
      <c r="L337" s="110" t="s">
        <v>1004</v>
      </c>
    </row>
    <row r="338">
      <c r="A338" s="110" t="s">
        <v>826</v>
      </c>
      <c r="B338" s="104">
        <v>0.0</v>
      </c>
      <c r="C338" s="110" t="s">
        <v>386</v>
      </c>
      <c r="D338" s="110" t="s">
        <v>217</v>
      </c>
      <c r="E338" s="104">
        <v>0.0</v>
      </c>
      <c r="F338" s="104">
        <v>95.0</v>
      </c>
      <c r="G338" s="110" t="s">
        <v>238</v>
      </c>
      <c r="H338" s="112">
        <v>45603.0</v>
      </c>
      <c r="I338" s="104">
        <v>0.0</v>
      </c>
      <c r="J338" s="104">
        <v>0.0</v>
      </c>
      <c r="K338" s="110" t="s">
        <v>1005</v>
      </c>
      <c r="L338" s="110" t="s">
        <v>1006</v>
      </c>
    </row>
    <row r="339">
      <c r="A339" s="110" t="s">
        <v>828</v>
      </c>
      <c r="B339" s="104">
        <v>0.0</v>
      </c>
      <c r="C339" s="110" t="s">
        <v>337</v>
      </c>
      <c r="D339" s="110" t="s">
        <v>210</v>
      </c>
      <c r="E339" s="104">
        <v>0.0</v>
      </c>
      <c r="F339" s="104">
        <v>18.0</v>
      </c>
      <c r="G339" s="110" t="s">
        <v>238</v>
      </c>
      <c r="H339" s="112">
        <v>45575.0</v>
      </c>
      <c r="I339" s="104">
        <v>0.0</v>
      </c>
      <c r="J339" s="104">
        <v>0.0</v>
      </c>
      <c r="K339" s="110" t="s">
        <v>1007</v>
      </c>
      <c r="L339" s="110" t="s">
        <v>1008</v>
      </c>
    </row>
    <row r="340">
      <c r="A340" s="110" t="s">
        <v>828</v>
      </c>
      <c r="B340" s="104">
        <v>0.0</v>
      </c>
      <c r="C340" s="110" t="s">
        <v>386</v>
      </c>
      <c r="D340" s="110" t="s">
        <v>210</v>
      </c>
      <c r="E340" s="104">
        <v>0.0</v>
      </c>
      <c r="F340" s="104">
        <v>11.0</v>
      </c>
      <c r="G340" s="110" t="s">
        <v>238</v>
      </c>
      <c r="H340" s="112">
        <v>45575.0</v>
      </c>
      <c r="I340" s="104">
        <v>0.0</v>
      </c>
      <c r="J340" s="104">
        <v>0.0</v>
      </c>
      <c r="K340" s="110" t="s">
        <v>1009</v>
      </c>
      <c r="L340" s="110" t="s">
        <v>1010</v>
      </c>
    </row>
    <row r="341">
      <c r="A341" s="110" t="s">
        <v>830</v>
      </c>
      <c r="B341" s="104">
        <v>0.0</v>
      </c>
      <c r="C341" s="110" t="s">
        <v>209</v>
      </c>
      <c r="D341" s="110" t="s">
        <v>217</v>
      </c>
      <c r="E341" s="104">
        <v>0.0</v>
      </c>
      <c r="F341" s="104">
        <v>0.0</v>
      </c>
      <c r="G341" s="104">
        <v>0.0</v>
      </c>
      <c r="H341" s="104" t="s">
        <v>232</v>
      </c>
      <c r="I341" s="104">
        <v>0.0</v>
      </c>
      <c r="J341" s="104">
        <v>0.0</v>
      </c>
      <c r="K341" s="110" t="s">
        <v>1011</v>
      </c>
      <c r="L341" s="110" t="s">
        <v>1012</v>
      </c>
    </row>
    <row r="342">
      <c r="A342" s="110" t="s">
        <v>832</v>
      </c>
      <c r="B342" s="104">
        <v>0.0</v>
      </c>
      <c r="C342" s="110" t="s">
        <v>317</v>
      </c>
      <c r="D342" s="110" t="s">
        <v>217</v>
      </c>
      <c r="E342" s="104">
        <v>0.0</v>
      </c>
      <c r="F342" s="104">
        <v>195.0</v>
      </c>
      <c r="G342" s="104">
        <v>0.0</v>
      </c>
      <c r="H342" s="112">
        <v>45874.0</v>
      </c>
      <c r="I342" s="104">
        <v>0.0</v>
      </c>
      <c r="J342" s="104">
        <v>0.0</v>
      </c>
      <c r="K342" s="110" t="s">
        <v>1013</v>
      </c>
      <c r="L342" s="110" t="s">
        <v>1014</v>
      </c>
    </row>
    <row r="343">
      <c r="A343" s="110" t="s">
        <v>834</v>
      </c>
      <c r="B343" s="104">
        <v>0.0</v>
      </c>
      <c r="C343" s="110" t="s">
        <v>337</v>
      </c>
      <c r="D343" s="110" t="s">
        <v>217</v>
      </c>
      <c r="E343" s="104">
        <v>0.0</v>
      </c>
      <c r="F343" s="104">
        <v>17.0</v>
      </c>
      <c r="G343" s="110" t="s">
        <v>238</v>
      </c>
      <c r="H343" s="112">
        <v>45846.0</v>
      </c>
      <c r="I343" s="110" t="s">
        <v>834</v>
      </c>
      <c r="J343" s="104">
        <v>0.0</v>
      </c>
      <c r="K343" s="110" t="s">
        <v>1015</v>
      </c>
      <c r="L343" s="110" t="s">
        <v>1016</v>
      </c>
    </row>
    <row r="344">
      <c r="A344" s="110" t="s">
        <v>834</v>
      </c>
      <c r="B344" s="104">
        <v>0.0</v>
      </c>
      <c r="C344" s="110" t="s">
        <v>209</v>
      </c>
      <c r="D344" s="110" t="s">
        <v>217</v>
      </c>
      <c r="E344" s="104">
        <v>0.0</v>
      </c>
      <c r="F344" s="104">
        <v>11.5</v>
      </c>
      <c r="G344" s="110" t="s">
        <v>238</v>
      </c>
      <c r="H344" s="112">
        <v>45846.0</v>
      </c>
      <c r="I344" s="110" t="s">
        <v>834</v>
      </c>
      <c r="J344" s="104">
        <v>0.0</v>
      </c>
      <c r="K344" s="110" t="s">
        <v>1017</v>
      </c>
      <c r="L344" s="110" t="s">
        <v>1018</v>
      </c>
    </row>
    <row r="345">
      <c r="A345" s="110" t="s">
        <v>834</v>
      </c>
      <c r="B345" s="104">
        <v>0.0</v>
      </c>
      <c r="C345" s="110" t="s">
        <v>209</v>
      </c>
      <c r="D345" s="110" t="s">
        <v>217</v>
      </c>
      <c r="E345" s="104">
        <v>10.0</v>
      </c>
      <c r="F345" s="104">
        <v>10.0</v>
      </c>
      <c r="G345" s="110" t="s">
        <v>238</v>
      </c>
      <c r="H345" s="112">
        <v>45987.0</v>
      </c>
      <c r="I345" s="110" t="s">
        <v>834</v>
      </c>
      <c r="J345" s="104">
        <v>0.0</v>
      </c>
      <c r="K345" s="110" t="s">
        <v>1017</v>
      </c>
      <c r="L345" s="110" t="s">
        <v>1019</v>
      </c>
    </row>
    <row r="346">
      <c r="A346" s="110" t="s">
        <v>836</v>
      </c>
      <c r="B346" s="104">
        <v>0.0</v>
      </c>
      <c r="C346" s="110" t="s">
        <v>317</v>
      </c>
      <c r="D346" s="110" t="s">
        <v>217</v>
      </c>
      <c r="E346" s="104">
        <v>0.0</v>
      </c>
      <c r="F346" s="104">
        <v>360.0</v>
      </c>
      <c r="G346" s="104">
        <v>0.0</v>
      </c>
      <c r="H346" s="112">
        <v>45874.0</v>
      </c>
      <c r="I346" s="104">
        <v>0.0</v>
      </c>
      <c r="J346" s="104">
        <v>0.0</v>
      </c>
      <c r="K346" s="110" t="s">
        <v>1020</v>
      </c>
      <c r="L346" s="110" t="s">
        <v>1021</v>
      </c>
    </row>
    <row r="347">
      <c r="A347" s="110" t="s">
        <v>838</v>
      </c>
      <c r="B347" s="104">
        <v>0.0</v>
      </c>
      <c r="C347" s="110" t="s">
        <v>535</v>
      </c>
      <c r="D347" s="110" t="s">
        <v>217</v>
      </c>
      <c r="E347" s="104">
        <v>0.0</v>
      </c>
      <c r="F347" s="104">
        <v>280.0</v>
      </c>
      <c r="G347" s="110" t="s">
        <v>238</v>
      </c>
      <c r="H347" s="112">
        <v>45876.0</v>
      </c>
      <c r="I347" s="104">
        <v>0.0</v>
      </c>
      <c r="J347" s="104">
        <v>0.0</v>
      </c>
      <c r="K347" s="110" t="s">
        <v>1022</v>
      </c>
      <c r="L347" s="110" t="s">
        <v>1023</v>
      </c>
    </row>
    <row r="348">
      <c r="A348" s="110" t="s">
        <v>842</v>
      </c>
      <c r="B348" s="104">
        <v>0.0</v>
      </c>
      <c r="C348" s="110" t="s">
        <v>535</v>
      </c>
      <c r="D348" s="110" t="s">
        <v>217</v>
      </c>
      <c r="E348" s="104">
        <v>0.0</v>
      </c>
      <c r="F348" s="104">
        <v>320.0</v>
      </c>
      <c r="G348" s="110" t="s">
        <v>302</v>
      </c>
      <c r="H348" s="112">
        <v>45876.0</v>
      </c>
      <c r="I348" s="104">
        <v>0.0</v>
      </c>
      <c r="J348" s="104">
        <v>0.0</v>
      </c>
      <c r="K348" s="110" t="s">
        <v>1024</v>
      </c>
      <c r="L348" s="110" t="s">
        <v>1025</v>
      </c>
    </row>
    <row r="349">
      <c r="A349" s="110" t="s">
        <v>844</v>
      </c>
      <c r="B349" s="104">
        <v>0.0</v>
      </c>
      <c r="C349" s="110" t="s">
        <v>331</v>
      </c>
      <c r="D349" s="110" t="s">
        <v>217</v>
      </c>
      <c r="E349" s="104">
        <v>0.0</v>
      </c>
      <c r="F349" s="104">
        <v>265.0</v>
      </c>
      <c r="G349" s="110" t="s">
        <v>238</v>
      </c>
      <c r="H349" s="112">
        <v>45986.0</v>
      </c>
      <c r="I349" s="110" t="s">
        <v>844</v>
      </c>
      <c r="J349" s="104">
        <v>0.0</v>
      </c>
      <c r="K349" s="110" t="s">
        <v>1026</v>
      </c>
      <c r="L349" s="110" t="s">
        <v>1027</v>
      </c>
    </row>
    <row r="350">
      <c r="A350" s="110" t="s">
        <v>847</v>
      </c>
      <c r="B350" s="104">
        <v>0.0</v>
      </c>
      <c r="C350" s="110" t="s">
        <v>221</v>
      </c>
      <c r="D350" s="104">
        <v>0.0</v>
      </c>
      <c r="E350" s="104">
        <v>0.0</v>
      </c>
      <c r="F350" s="104">
        <v>1.74</v>
      </c>
      <c r="G350" s="110" t="s">
        <v>257</v>
      </c>
      <c r="H350" s="112">
        <v>45807.0</v>
      </c>
      <c r="I350" s="104">
        <v>0.0</v>
      </c>
      <c r="J350" s="104">
        <v>0.0</v>
      </c>
      <c r="K350" s="110" t="s">
        <v>1028</v>
      </c>
      <c r="L350" s="110" t="s">
        <v>1029</v>
      </c>
    </row>
    <row r="351">
      <c r="A351" s="110" t="s">
        <v>849</v>
      </c>
      <c r="B351" s="104">
        <v>0.0</v>
      </c>
      <c r="C351" s="110" t="s">
        <v>221</v>
      </c>
      <c r="D351" s="104">
        <v>0.0</v>
      </c>
      <c r="E351" s="104">
        <v>0.0</v>
      </c>
      <c r="F351" s="104">
        <v>1.74</v>
      </c>
      <c r="G351" s="110" t="s">
        <v>257</v>
      </c>
      <c r="H351" s="112">
        <v>45807.0</v>
      </c>
      <c r="I351" s="104">
        <v>0.0</v>
      </c>
      <c r="J351" s="104">
        <v>0.0</v>
      </c>
      <c r="K351" s="110" t="s">
        <v>1030</v>
      </c>
      <c r="L351" s="110" t="s">
        <v>1031</v>
      </c>
    </row>
    <row r="352">
      <c r="A352" s="110" t="s">
        <v>853</v>
      </c>
      <c r="B352" s="104">
        <v>0.0</v>
      </c>
      <c r="C352" s="110" t="s">
        <v>1032</v>
      </c>
      <c r="D352" s="110" t="s">
        <v>226</v>
      </c>
      <c r="E352" s="104">
        <v>0.0</v>
      </c>
      <c r="F352" s="104">
        <v>2.2</v>
      </c>
      <c r="G352" s="104">
        <v>0.0</v>
      </c>
      <c r="H352" s="112">
        <v>44734.0</v>
      </c>
      <c r="I352" s="104">
        <v>0.0</v>
      </c>
      <c r="J352" s="104">
        <v>0.0</v>
      </c>
      <c r="K352" s="110" t="s">
        <v>1033</v>
      </c>
      <c r="L352" s="110" t="s">
        <v>1034</v>
      </c>
    </row>
    <row r="353">
      <c r="A353" s="110" t="s">
        <v>853</v>
      </c>
      <c r="B353" s="110" t="s">
        <v>1035</v>
      </c>
      <c r="C353" s="110" t="s">
        <v>221</v>
      </c>
      <c r="D353" s="110" t="s">
        <v>226</v>
      </c>
      <c r="E353" s="104">
        <v>0.0</v>
      </c>
      <c r="F353" s="104">
        <v>2.91</v>
      </c>
      <c r="G353" s="110" t="s">
        <v>257</v>
      </c>
      <c r="H353" s="112">
        <v>45807.0</v>
      </c>
      <c r="I353" s="110" t="s">
        <v>1036</v>
      </c>
      <c r="J353" s="104">
        <v>0.0</v>
      </c>
      <c r="K353" s="110" t="s">
        <v>1037</v>
      </c>
      <c r="L353" s="110" t="s">
        <v>1038</v>
      </c>
    </row>
    <row r="354">
      <c r="A354" s="110" t="s">
        <v>853</v>
      </c>
      <c r="B354" s="104">
        <v>0.0</v>
      </c>
      <c r="C354" s="110" t="s">
        <v>256</v>
      </c>
      <c r="D354" s="110" t="s">
        <v>226</v>
      </c>
      <c r="E354" s="104">
        <v>0.0</v>
      </c>
      <c r="F354" s="104">
        <v>0.0</v>
      </c>
      <c r="G354" s="104">
        <v>0.0</v>
      </c>
      <c r="H354" s="104" t="s">
        <v>232</v>
      </c>
      <c r="I354" s="110" t="s">
        <v>1039</v>
      </c>
      <c r="J354" s="104">
        <v>0.0</v>
      </c>
      <c r="K354" s="110" t="s">
        <v>1040</v>
      </c>
      <c r="L354" s="110" t="s">
        <v>1041</v>
      </c>
    </row>
    <row r="355">
      <c r="A355" s="110" t="s">
        <v>853</v>
      </c>
      <c r="B355" s="104">
        <v>0.0</v>
      </c>
      <c r="C355" s="110" t="s">
        <v>337</v>
      </c>
      <c r="D355" s="110" t="s">
        <v>226</v>
      </c>
      <c r="E355" s="104">
        <v>0.0</v>
      </c>
      <c r="F355" s="104">
        <v>3.087</v>
      </c>
      <c r="G355" s="110" t="s">
        <v>974</v>
      </c>
      <c r="H355" s="112">
        <v>45723.0</v>
      </c>
      <c r="I355" s="110" t="s">
        <v>1042</v>
      </c>
      <c r="J355" s="104">
        <v>0.0</v>
      </c>
      <c r="K355" s="110" t="s">
        <v>1043</v>
      </c>
      <c r="L355" s="110" t="s">
        <v>1044</v>
      </c>
    </row>
    <row r="356">
      <c r="A356" s="110" t="s">
        <v>853</v>
      </c>
      <c r="B356" s="104">
        <v>0.0</v>
      </c>
      <c r="C356" s="110" t="s">
        <v>200</v>
      </c>
      <c r="D356" s="110" t="s">
        <v>226</v>
      </c>
      <c r="E356" s="104">
        <v>0.0</v>
      </c>
      <c r="F356" s="104">
        <v>2.55</v>
      </c>
      <c r="G356" s="110" t="s">
        <v>373</v>
      </c>
      <c r="H356" s="112">
        <v>45723.0</v>
      </c>
      <c r="I356" s="104">
        <v>0.0</v>
      </c>
      <c r="J356" s="104">
        <v>0.0</v>
      </c>
      <c r="K356" s="110" t="s">
        <v>1045</v>
      </c>
      <c r="L356" s="110" t="s">
        <v>1046</v>
      </c>
    </row>
    <row r="357">
      <c r="A357" s="110" t="s">
        <v>855</v>
      </c>
      <c r="B357" s="104">
        <v>0.0</v>
      </c>
      <c r="C357" s="110" t="s">
        <v>221</v>
      </c>
      <c r="D357" s="110" t="s">
        <v>226</v>
      </c>
      <c r="E357" s="104">
        <v>0.0</v>
      </c>
      <c r="F357" s="104">
        <v>1.74</v>
      </c>
      <c r="G357" s="110" t="s">
        <v>328</v>
      </c>
      <c r="H357" s="112">
        <v>45854.0</v>
      </c>
      <c r="I357" s="104">
        <v>0.0</v>
      </c>
      <c r="J357" s="104">
        <v>0.0</v>
      </c>
      <c r="K357" s="110" t="s">
        <v>1047</v>
      </c>
      <c r="L357" s="110" t="s">
        <v>1048</v>
      </c>
    </row>
    <row r="358">
      <c r="A358" s="110" t="s">
        <v>857</v>
      </c>
      <c r="B358" s="104">
        <v>0.0</v>
      </c>
      <c r="C358" s="110" t="s">
        <v>221</v>
      </c>
      <c r="D358" s="110" t="s">
        <v>226</v>
      </c>
      <c r="E358" s="104">
        <v>0.0</v>
      </c>
      <c r="F358" s="104">
        <v>1.74</v>
      </c>
      <c r="G358" s="110" t="s">
        <v>328</v>
      </c>
      <c r="H358" s="112">
        <v>45854.0</v>
      </c>
      <c r="I358" s="104">
        <v>0.0</v>
      </c>
      <c r="J358" s="104">
        <v>0.0</v>
      </c>
      <c r="K358" s="110" t="s">
        <v>1049</v>
      </c>
      <c r="L358" s="110" t="s">
        <v>1050</v>
      </c>
    </row>
    <row r="359">
      <c r="A359" s="110" t="s">
        <v>859</v>
      </c>
      <c r="B359" s="104">
        <v>0.0</v>
      </c>
      <c r="C359" s="110" t="s">
        <v>331</v>
      </c>
      <c r="D359" s="110" t="s">
        <v>205</v>
      </c>
      <c r="E359" s="104">
        <v>0.0</v>
      </c>
      <c r="F359" s="104">
        <v>63.0</v>
      </c>
      <c r="G359" s="110" t="s">
        <v>262</v>
      </c>
      <c r="H359" s="112">
        <v>45986.0</v>
      </c>
      <c r="I359" s="110" t="s">
        <v>859</v>
      </c>
      <c r="J359" s="104">
        <v>0.0</v>
      </c>
      <c r="K359" s="110" t="s">
        <v>1051</v>
      </c>
      <c r="L359" s="110" t="s">
        <v>1052</v>
      </c>
    </row>
    <row r="360">
      <c r="A360" s="110" t="s">
        <v>861</v>
      </c>
      <c r="B360" s="104">
        <v>0.0</v>
      </c>
      <c r="C360" s="110" t="s">
        <v>209</v>
      </c>
      <c r="D360" s="110" t="s">
        <v>217</v>
      </c>
      <c r="E360" s="104">
        <v>240.0</v>
      </c>
      <c r="F360" s="104">
        <v>240.0</v>
      </c>
      <c r="G360" s="110" t="s">
        <v>1053</v>
      </c>
      <c r="H360" s="112">
        <v>45987.0</v>
      </c>
      <c r="I360" s="110" t="s">
        <v>861</v>
      </c>
      <c r="J360" s="104">
        <v>0.0</v>
      </c>
      <c r="K360" s="110" t="s">
        <v>1054</v>
      </c>
      <c r="L360" s="110" t="s">
        <v>1055</v>
      </c>
    </row>
    <row r="361">
      <c r="A361" s="110" t="s">
        <v>863</v>
      </c>
      <c r="B361" s="110" t="s">
        <v>863</v>
      </c>
      <c r="C361" s="110" t="s">
        <v>1056</v>
      </c>
      <c r="D361" s="110" t="s">
        <v>217</v>
      </c>
      <c r="E361" s="104">
        <v>0.0</v>
      </c>
      <c r="F361" s="104">
        <v>0.0</v>
      </c>
      <c r="G361" s="104">
        <v>0.0</v>
      </c>
      <c r="H361" s="104" t="s">
        <v>232</v>
      </c>
      <c r="I361" s="104">
        <v>0.0</v>
      </c>
      <c r="J361" s="104">
        <v>0.0</v>
      </c>
      <c r="K361" s="110" t="s">
        <v>1057</v>
      </c>
      <c r="L361" s="110" t="s">
        <v>1058</v>
      </c>
    </row>
    <row r="362">
      <c r="A362" s="110" t="s">
        <v>865</v>
      </c>
      <c r="B362" s="104">
        <v>0.0</v>
      </c>
      <c r="C362" s="110" t="s">
        <v>317</v>
      </c>
      <c r="D362" s="110" t="s">
        <v>217</v>
      </c>
      <c r="E362" s="104">
        <v>0.0</v>
      </c>
      <c r="F362" s="104">
        <v>600.0</v>
      </c>
      <c r="G362" s="104">
        <v>0.0</v>
      </c>
      <c r="H362" s="112">
        <v>45874.0</v>
      </c>
      <c r="I362" s="104">
        <v>0.0</v>
      </c>
      <c r="J362" s="104">
        <v>0.0</v>
      </c>
      <c r="K362" s="110" t="s">
        <v>1059</v>
      </c>
      <c r="L362" s="110" t="s">
        <v>1060</v>
      </c>
    </row>
    <row r="363">
      <c r="A363" s="110" t="s">
        <v>867</v>
      </c>
      <c r="B363" s="104">
        <v>0.0</v>
      </c>
      <c r="C363" s="110" t="s">
        <v>209</v>
      </c>
      <c r="D363" s="110" t="s">
        <v>217</v>
      </c>
      <c r="E363" s="104">
        <v>0.0</v>
      </c>
      <c r="F363" s="104">
        <v>0.0</v>
      </c>
      <c r="G363" s="104">
        <v>0.0</v>
      </c>
      <c r="H363" s="104" t="s">
        <v>232</v>
      </c>
      <c r="I363" s="104">
        <v>0.0</v>
      </c>
      <c r="J363" s="104">
        <v>0.0</v>
      </c>
      <c r="K363" s="110" t="s">
        <v>1061</v>
      </c>
      <c r="L363" s="110" t="s">
        <v>1062</v>
      </c>
    </row>
    <row r="364">
      <c r="A364" s="110" t="s">
        <v>869</v>
      </c>
      <c r="B364" s="104">
        <v>0.0</v>
      </c>
      <c r="C364" s="110" t="s">
        <v>209</v>
      </c>
      <c r="D364" s="110" t="s">
        <v>217</v>
      </c>
      <c r="E364" s="104">
        <v>0.0</v>
      </c>
      <c r="F364" s="104">
        <v>0.0</v>
      </c>
      <c r="G364" s="104">
        <v>0.0</v>
      </c>
      <c r="H364" s="104" t="s">
        <v>232</v>
      </c>
      <c r="I364" s="104">
        <v>0.0</v>
      </c>
      <c r="J364" s="104">
        <v>0.0</v>
      </c>
      <c r="K364" s="110" t="s">
        <v>1063</v>
      </c>
      <c r="L364" s="110" t="s">
        <v>1064</v>
      </c>
    </row>
    <row r="365">
      <c r="A365" s="110" t="s">
        <v>871</v>
      </c>
      <c r="B365" s="104">
        <v>0.0</v>
      </c>
      <c r="C365" s="110" t="s">
        <v>261</v>
      </c>
      <c r="D365" s="110" t="s">
        <v>322</v>
      </c>
      <c r="E365" s="104">
        <v>0.0</v>
      </c>
      <c r="F365" s="104">
        <v>13.0</v>
      </c>
      <c r="G365" s="110" t="s">
        <v>238</v>
      </c>
      <c r="H365" s="112">
        <v>45946.0</v>
      </c>
      <c r="I365" s="110" t="s">
        <v>871</v>
      </c>
      <c r="J365" s="104">
        <v>0.0</v>
      </c>
      <c r="K365" s="110" t="s">
        <v>1065</v>
      </c>
      <c r="L365" s="110" t="s">
        <v>1066</v>
      </c>
    </row>
    <row r="366">
      <c r="A366" s="110" t="s">
        <v>873</v>
      </c>
      <c r="B366" s="104">
        <v>0.0</v>
      </c>
      <c r="C366" s="110" t="s">
        <v>657</v>
      </c>
      <c r="D366" s="110" t="s">
        <v>217</v>
      </c>
      <c r="E366" s="104">
        <v>0.0</v>
      </c>
      <c r="F366" s="104">
        <v>0.0</v>
      </c>
      <c r="G366" s="110" t="s">
        <v>218</v>
      </c>
      <c r="H366" s="112">
        <v>45825.0</v>
      </c>
      <c r="I366" s="110" t="s">
        <v>1067</v>
      </c>
      <c r="J366" s="104">
        <v>0.0</v>
      </c>
      <c r="K366" s="110" t="s">
        <v>1068</v>
      </c>
      <c r="L366" s="110" t="s">
        <v>1069</v>
      </c>
    </row>
    <row r="367">
      <c r="A367" s="110" t="s">
        <v>875</v>
      </c>
      <c r="B367" s="104">
        <v>0.0</v>
      </c>
      <c r="C367" s="110" t="s">
        <v>417</v>
      </c>
      <c r="D367" s="110" t="s">
        <v>322</v>
      </c>
      <c r="E367" s="104">
        <v>0.0</v>
      </c>
      <c r="F367" s="104">
        <v>5.05</v>
      </c>
      <c r="G367" s="110" t="s">
        <v>334</v>
      </c>
      <c r="H367" s="112">
        <v>45747.0</v>
      </c>
      <c r="I367" s="104">
        <v>0.0</v>
      </c>
      <c r="J367" s="104">
        <v>0.0</v>
      </c>
      <c r="K367" s="110" t="s">
        <v>1070</v>
      </c>
      <c r="L367" s="110" t="s">
        <v>1071</v>
      </c>
    </row>
    <row r="368">
      <c r="A368" s="110" t="s">
        <v>877</v>
      </c>
      <c r="B368" s="104">
        <v>0.0</v>
      </c>
      <c r="C368" s="110" t="s">
        <v>386</v>
      </c>
      <c r="D368" s="110" t="s">
        <v>217</v>
      </c>
      <c r="E368" s="104">
        <v>0.0</v>
      </c>
      <c r="F368" s="104">
        <v>64.0</v>
      </c>
      <c r="G368" s="110" t="s">
        <v>238</v>
      </c>
      <c r="H368" s="112">
        <v>45883.0</v>
      </c>
      <c r="I368" s="110" t="s">
        <v>877</v>
      </c>
      <c r="J368" s="104">
        <v>0.0</v>
      </c>
      <c r="K368" s="110" t="s">
        <v>1072</v>
      </c>
      <c r="L368" s="110" t="s">
        <v>1073</v>
      </c>
    </row>
    <row r="369">
      <c r="A369" s="110" t="s">
        <v>878</v>
      </c>
      <c r="B369" s="104">
        <v>0.0</v>
      </c>
      <c r="C369" s="110" t="s">
        <v>209</v>
      </c>
      <c r="D369" s="110" t="s">
        <v>217</v>
      </c>
      <c r="E369" s="104">
        <v>0.0</v>
      </c>
      <c r="F369" s="104">
        <v>0.0</v>
      </c>
      <c r="G369" s="104">
        <v>0.0</v>
      </c>
      <c r="H369" s="104" t="s">
        <v>232</v>
      </c>
      <c r="I369" s="104">
        <v>0.0</v>
      </c>
      <c r="J369" s="104">
        <v>0.0</v>
      </c>
      <c r="K369" s="110" t="s">
        <v>1074</v>
      </c>
      <c r="L369" s="110" t="s">
        <v>1075</v>
      </c>
    </row>
    <row r="370">
      <c r="A370" s="110" t="s">
        <v>881</v>
      </c>
      <c r="B370" s="104">
        <v>0.0</v>
      </c>
      <c r="C370" s="110" t="s">
        <v>209</v>
      </c>
      <c r="D370" s="110" t="s">
        <v>217</v>
      </c>
      <c r="E370" s="104">
        <v>8.0</v>
      </c>
      <c r="F370" s="104">
        <v>8.0</v>
      </c>
      <c r="G370" s="110" t="s">
        <v>238</v>
      </c>
      <c r="H370" s="112">
        <v>45987.0</v>
      </c>
      <c r="I370" s="110" t="s">
        <v>881</v>
      </c>
      <c r="J370" s="104">
        <v>0.0</v>
      </c>
      <c r="K370" s="110" t="s">
        <v>1076</v>
      </c>
      <c r="L370" s="110" t="s">
        <v>1077</v>
      </c>
    </row>
    <row r="371">
      <c r="A371" s="110" t="s">
        <v>883</v>
      </c>
      <c r="B371" s="104">
        <v>0.0</v>
      </c>
      <c r="C371" s="110" t="s">
        <v>209</v>
      </c>
      <c r="D371" s="110" t="s">
        <v>217</v>
      </c>
      <c r="E371" s="104">
        <v>0.0</v>
      </c>
      <c r="F371" s="104">
        <v>0.0</v>
      </c>
      <c r="G371" s="104">
        <v>0.0</v>
      </c>
      <c r="H371" s="104" t="s">
        <v>232</v>
      </c>
      <c r="I371" s="104">
        <v>0.0</v>
      </c>
      <c r="J371" s="104">
        <v>0.0</v>
      </c>
      <c r="K371" s="110" t="s">
        <v>1078</v>
      </c>
      <c r="L371" s="110" t="s">
        <v>1079</v>
      </c>
    </row>
    <row r="372">
      <c r="A372" s="110" t="s">
        <v>886</v>
      </c>
      <c r="B372" s="104">
        <v>0.0</v>
      </c>
      <c r="C372" s="110" t="s">
        <v>209</v>
      </c>
      <c r="D372" s="110" t="s">
        <v>217</v>
      </c>
      <c r="E372" s="104">
        <v>0.0</v>
      </c>
      <c r="F372" s="104">
        <v>0.0</v>
      </c>
      <c r="G372" s="104">
        <v>0.0</v>
      </c>
      <c r="H372" s="104" t="s">
        <v>232</v>
      </c>
      <c r="I372" s="104">
        <v>0.0</v>
      </c>
      <c r="J372" s="104">
        <v>0.0</v>
      </c>
      <c r="K372" s="110" t="s">
        <v>1080</v>
      </c>
      <c r="L372" s="110" t="s">
        <v>1081</v>
      </c>
    </row>
    <row r="373">
      <c r="A373" s="110" t="s">
        <v>888</v>
      </c>
      <c r="B373" s="104">
        <v>0.0</v>
      </c>
      <c r="C373" s="110" t="s">
        <v>317</v>
      </c>
      <c r="D373" s="110" t="s">
        <v>267</v>
      </c>
      <c r="E373" s="104">
        <v>0.0</v>
      </c>
      <c r="F373" s="104">
        <v>15.0</v>
      </c>
      <c r="G373" s="104">
        <v>0.0</v>
      </c>
      <c r="H373" s="112">
        <v>45874.0</v>
      </c>
      <c r="I373" s="104">
        <v>0.0</v>
      </c>
      <c r="J373" s="104">
        <v>0.0</v>
      </c>
      <c r="K373" s="110" t="s">
        <v>1082</v>
      </c>
      <c r="L373" s="110" t="s">
        <v>1083</v>
      </c>
    </row>
    <row r="374">
      <c r="A374" s="110" t="s">
        <v>890</v>
      </c>
      <c r="B374" s="104">
        <v>0.0</v>
      </c>
      <c r="C374" s="110" t="s">
        <v>209</v>
      </c>
      <c r="D374" s="110" t="s">
        <v>217</v>
      </c>
      <c r="E374" s="104">
        <v>0.0</v>
      </c>
      <c r="F374" s="104">
        <v>0.0</v>
      </c>
      <c r="G374" s="104">
        <v>0.0</v>
      </c>
      <c r="H374" s="104" t="s">
        <v>232</v>
      </c>
      <c r="I374" s="104">
        <v>0.0</v>
      </c>
      <c r="J374" s="104">
        <v>0.0</v>
      </c>
      <c r="K374" s="110" t="s">
        <v>1084</v>
      </c>
      <c r="L374" s="110" t="s">
        <v>1085</v>
      </c>
    </row>
    <row r="375">
      <c r="A375" s="110" t="s">
        <v>892</v>
      </c>
      <c r="B375" s="104">
        <v>0.0</v>
      </c>
      <c r="C375" s="110" t="s">
        <v>1086</v>
      </c>
      <c r="D375" s="110" t="s">
        <v>226</v>
      </c>
      <c r="E375" s="104">
        <v>0.0</v>
      </c>
      <c r="F375" s="104">
        <v>7.52</v>
      </c>
      <c r="G375" s="110" t="s">
        <v>1087</v>
      </c>
      <c r="H375" s="112">
        <v>45849.0</v>
      </c>
      <c r="I375" s="110" t="s">
        <v>1088</v>
      </c>
      <c r="J375" s="104">
        <v>0.0</v>
      </c>
      <c r="K375" s="110" t="s">
        <v>1089</v>
      </c>
      <c r="L375" s="110" t="s">
        <v>1090</v>
      </c>
    </row>
    <row r="376">
      <c r="A376" s="110" t="s">
        <v>892</v>
      </c>
      <c r="B376" s="104">
        <v>0.0</v>
      </c>
      <c r="C376" s="110" t="s">
        <v>1086</v>
      </c>
      <c r="D376" s="110" t="s">
        <v>226</v>
      </c>
      <c r="E376" s="104">
        <v>0.0</v>
      </c>
      <c r="F376" s="104">
        <v>8.53</v>
      </c>
      <c r="G376" s="110" t="s">
        <v>1091</v>
      </c>
      <c r="H376" s="112">
        <v>45849.0</v>
      </c>
      <c r="I376" s="110" t="s">
        <v>1088</v>
      </c>
      <c r="J376" s="104">
        <v>0.0</v>
      </c>
      <c r="K376" s="110" t="s">
        <v>1089</v>
      </c>
      <c r="L376" s="110" t="s">
        <v>1092</v>
      </c>
    </row>
    <row r="377">
      <c r="A377" s="110" t="s">
        <v>894</v>
      </c>
      <c r="B377" s="110" t="s">
        <v>1093</v>
      </c>
      <c r="C377" s="110" t="s">
        <v>1094</v>
      </c>
      <c r="D377" s="110" t="s">
        <v>217</v>
      </c>
      <c r="E377" s="104">
        <v>0.0</v>
      </c>
      <c r="F377" s="104">
        <v>304.0</v>
      </c>
      <c r="G377" s="110" t="s">
        <v>338</v>
      </c>
      <c r="H377" s="112">
        <v>44887.0</v>
      </c>
      <c r="I377" s="104">
        <v>0.0</v>
      </c>
      <c r="J377" s="104">
        <v>0.0</v>
      </c>
      <c r="K377" s="110" t="s">
        <v>1095</v>
      </c>
      <c r="L377" s="110" t="s">
        <v>1096</v>
      </c>
    </row>
    <row r="378">
      <c r="A378" s="110" t="s">
        <v>896</v>
      </c>
      <c r="B378" s="110" t="s">
        <v>1093</v>
      </c>
      <c r="C378" s="110" t="s">
        <v>1094</v>
      </c>
      <c r="D378" s="110" t="s">
        <v>217</v>
      </c>
      <c r="E378" s="104">
        <v>0.0</v>
      </c>
      <c r="F378" s="104">
        <v>279.0</v>
      </c>
      <c r="G378" s="110" t="s">
        <v>338</v>
      </c>
      <c r="H378" s="112">
        <v>44887.0</v>
      </c>
      <c r="I378" s="104">
        <v>0.0</v>
      </c>
      <c r="J378" s="104">
        <v>0.0</v>
      </c>
      <c r="K378" s="110" t="s">
        <v>1097</v>
      </c>
      <c r="L378" s="110" t="s">
        <v>1098</v>
      </c>
    </row>
    <row r="379">
      <c r="A379" s="110" t="s">
        <v>898</v>
      </c>
      <c r="B379" s="110" t="s">
        <v>1093</v>
      </c>
      <c r="C379" s="110" t="s">
        <v>1094</v>
      </c>
      <c r="D379" s="110" t="s">
        <v>217</v>
      </c>
      <c r="E379" s="104">
        <v>0.0</v>
      </c>
      <c r="F379" s="104">
        <v>631.0</v>
      </c>
      <c r="G379" s="110" t="s">
        <v>302</v>
      </c>
      <c r="H379" s="112">
        <v>44887.0</v>
      </c>
      <c r="I379" s="104">
        <v>0.0</v>
      </c>
      <c r="J379" s="104">
        <v>0.0</v>
      </c>
      <c r="K379" s="110" t="s">
        <v>1099</v>
      </c>
      <c r="L379" s="110" t="s">
        <v>1100</v>
      </c>
    </row>
    <row r="380">
      <c r="A380" s="110" t="s">
        <v>902</v>
      </c>
      <c r="B380" s="104">
        <v>0.0</v>
      </c>
      <c r="C380" s="110" t="s">
        <v>845</v>
      </c>
      <c r="D380" s="110" t="s">
        <v>226</v>
      </c>
      <c r="E380" s="104">
        <v>0.0</v>
      </c>
      <c r="F380" s="104">
        <v>1.94</v>
      </c>
      <c r="G380" s="104">
        <v>0.0</v>
      </c>
      <c r="H380" s="112">
        <v>44826.0</v>
      </c>
      <c r="I380" s="104">
        <v>0.0</v>
      </c>
      <c r="J380" s="104">
        <v>0.0</v>
      </c>
      <c r="K380" s="110" t="s">
        <v>1101</v>
      </c>
      <c r="L380" s="110" t="s">
        <v>1102</v>
      </c>
    </row>
    <row r="381">
      <c r="A381" s="110" t="s">
        <v>903</v>
      </c>
      <c r="B381" s="104">
        <v>0.0</v>
      </c>
      <c r="C381" s="110" t="s">
        <v>247</v>
      </c>
      <c r="D381" s="110" t="s">
        <v>210</v>
      </c>
      <c r="E381" s="104">
        <v>0.0</v>
      </c>
      <c r="F381" s="104">
        <v>0.0</v>
      </c>
      <c r="G381" s="104">
        <v>0.0</v>
      </c>
      <c r="H381" s="104" t="s">
        <v>232</v>
      </c>
      <c r="I381" s="104">
        <v>0.0</v>
      </c>
      <c r="J381" s="104">
        <v>0.0</v>
      </c>
      <c r="K381" s="110" t="s">
        <v>1103</v>
      </c>
      <c r="L381" s="110" t="s">
        <v>1104</v>
      </c>
    </row>
    <row r="382">
      <c r="A382" s="110" t="s">
        <v>904</v>
      </c>
      <c r="B382" s="104">
        <v>0.0</v>
      </c>
      <c r="C382" s="110" t="s">
        <v>1105</v>
      </c>
      <c r="D382" s="110" t="s">
        <v>274</v>
      </c>
      <c r="E382" s="104">
        <v>0.0</v>
      </c>
      <c r="F382" s="104">
        <v>900.0</v>
      </c>
      <c r="G382" s="104">
        <v>100000.0</v>
      </c>
      <c r="H382" s="112">
        <v>45896.0</v>
      </c>
      <c r="I382" s="110" t="s">
        <v>1106</v>
      </c>
      <c r="J382" s="104">
        <v>0.0</v>
      </c>
      <c r="K382" s="110" t="s">
        <v>1107</v>
      </c>
      <c r="L382" s="110" t="s">
        <v>1108</v>
      </c>
    </row>
    <row r="383">
      <c r="A383" s="110" t="s">
        <v>906</v>
      </c>
      <c r="B383" s="104">
        <v>0.0</v>
      </c>
      <c r="C383" s="110" t="s">
        <v>1105</v>
      </c>
      <c r="D383" s="110" t="s">
        <v>274</v>
      </c>
      <c r="E383" s="104">
        <v>0.0</v>
      </c>
      <c r="F383" s="104">
        <v>728.0</v>
      </c>
      <c r="G383" s="104">
        <v>70000.0</v>
      </c>
      <c r="H383" s="112">
        <v>45896.0</v>
      </c>
      <c r="I383" s="110" t="s">
        <v>1106</v>
      </c>
      <c r="J383" s="104">
        <v>0.0</v>
      </c>
      <c r="K383" s="110" t="s">
        <v>1109</v>
      </c>
      <c r="L383" s="110" t="s">
        <v>1110</v>
      </c>
    </row>
    <row r="384">
      <c r="A384" s="110" t="s">
        <v>908</v>
      </c>
      <c r="B384" s="104">
        <v>0.0</v>
      </c>
      <c r="C384" s="110" t="s">
        <v>1105</v>
      </c>
      <c r="D384" s="110" t="s">
        <v>274</v>
      </c>
      <c r="E384" s="104">
        <v>0.0</v>
      </c>
      <c r="F384" s="104">
        <v>1400.0</v>
      </c>
      <c r="G384" s="104">
        <v>50000.0</v>
      </c>
      <c r="H384" s="112">
        <v>45896.0</v>
      </c>
      <c r="I384" s="110" t="s">
        <v>1106</v>
      </c>
      <c r="J384" s="104">
        <v>0.0</v>
      </c>
      <c r="K384" s="110" t="s">
        <v>1111</v>
      </c>
      <c r="L384" s="110" t="s">
        <v>1112</v>
      </c>
    </row>
    <row r="385">
      <c r="A385" s="110" t="s">
        <v>910</v>
      </c>
      <c r="B385" s="104">
        <v>0.0</v>
      </c>
      <c r="C385" s="110" t="s">
        <v>1105</v>
      </c>
      <c r="D385" s="110" t="s">
        <v>274</v>
      </c>
      <c r="E385" s="104">
        <v>0.0</v>
      </c>
      <c r="F385" s="104">
        <v>812.5</v>
      </c>
      <c r="G385" s="104">
        <v>65000.0</v>
      </c>
      <c r="H385" s="112">
        <v>45896.0</v>
      </c>
      <c r="I385" s="110" t="s">
        <v>1106</v>
      </c>
      <c r="J385" s="104">
        <v>0.0</v>
      </c>
      <c r="K385" s="110" t="s">
        <v>1113</v>
      </c>
      <c r="L385" s="110" t="s">
        <v>1114</v>
      </c>
    </row>
    <row r="386">
      <c r="A386" s="110" t="s">
        <v>911</v>
      </c>
      <c r="B386" s="104">
        <v>0.0</v>
      </c>
      <c r="C386" s="110" t="s">
        <v>1105</v>
      </c>
      <c r="D386" s="110" t="s">
        <v>274</v>
      </c>
      <c r="E386" s="104">
        <v>0.0</v>
      </c>
      <c r="F386" s="104">
        <v>1089.0</v>
      </c>
      <c r="G386" s="104">
        <v>90000.0</v>
      </c>
      <c r="H386" s="112">
        <v>45896.0</v>
      </c>
      <c r="I386" s="110" t="s">
        <v>1106</v>
      </c>
      <c r="J386" s="104">
        <v>0.0</v>
      </c>
      <c r="K386" s="110" t="s">
        <v>1115</v>
      </c>
      <c r="L386" s="110" t="s">
        <v>1116</v>
      </c>
    </row>
    <row r="387">
      <c r="A387" s="110" t="s">
        <v>913</v>
      </c>
      <c r="B387" s="104">
        <v>0.0</v>
      </c>
      <c r="C387" s="110" t="s">
        <v>1105</v>
      </c>
      <c r="D387" s="110" t="s">
        <v>274</v>
      </c>
      <c r="E387" s="104">
        <v>0.0</v>
      </c>
      <c r="F387" s="104">
        <v>1105.0</v>
      </c>
      <c r="G387" s="104">
        <v>130000.0</v>
      </c>
      <c r="H387" s="112">
        <v>45896.0</v>
      </c>
      <c r="I387" s="110" t="s">
        <v>1106</v>
      </c>
      <c r="J387" s="104">
        <v>0.0</v>
      </c>
      <c r="K387" s="110" t="s">
        <v>1117</v>
      </c>
      <c r="L387" s="110" t="s">
        <v>1118</v>
      </c>
    </row>
    <row r="388">
      <c r="A388" s="110" t="s">
        <v>914</v>
      </c>
      <c r="B388" s="110" t="s">
        <v>1119</v>
      </c>
      <c r="C388" s="110" t="s">
        <v>720</v>
      </c>
      <c r="D388" s="110" t="s">
        <v>210</v>
      </c>
      <c r="E388" s="104">
        <v>0.0</v>
      </c>
      <c r="F388" s="104">
        <v>67.0</v>
      </c>
      <c r="G388" s="110" t="s">
        <v>721</v>
      </c>
      <c r="H388" s="112">
        <v>45741.0</v>
      </c>
      <c r="I388" s="104">
        <v>0.0</v>
      </c>
      <c r="J388" s="104">
        <v>0.0</v>
      </c>
      <c r="K388" s="110" t="s">
        <v>1120</v>
      </c>
      <c r="L388" s="110" t="s">
        <v>1121</v>
      </c>
    </row>
    <row r="389">
      <c r="A389" s="110" t="s">
        <v>914</v>
      </c>
      <c r="B389" s="110" t="s">
        <v>1119</v>
      </c>
      <c r="C389" s="110" t="s">
        <v>720</v>
      </c>
      <c r="D389" s="110" t="s">
        <v>210</v>
      </c>
      <c r="E389" s="104">
        <v>0.0</v>
      </c>
      <c r="F389" s="104">
        <v>59.0</v>
      </c>
      <c r="G389" s="110" t="s">
        <v>724</v>
      </c>
      <c r="H389" s="112">
        <v>45741.0</v>
      </c>
      <c r="I389" s="104">
        <v>0.0</v>
      </c>
      <c r="J389" s="104">
        <v>0.0</v>
      </c>
      <c r="K389" s="110" t="s">
        <v>1120</v>
      </c>
      <c r="L389" s="110" t="s">
        <v>1122</v>
      </c>
    </row>
    <row r="390">
      <c r="A390" s="110" t="s">
        <v>914</v>
      </c>
      <c r="B390" s="110" t="s">
        <v>1119</v>
      </c>
      <c r="C390" s="110" t="s">
        <v>720</v>
      </c>
      <c r="D390" s="110" t="s">
        <v>210</v>
      </c>
      <c r="E390" s="104">
        <v>0.0</v>
      </c>
      <c r="F390" s="104">
        <v>52.0</v>
      </c>
      <c r="G390" s="110" t="s">
        <v>726</v>
      </c>
      <c r="H390" s="112">
        <v>45741.0</v>
      </c>
      <c r="I390" s="104">
        <v>0.0</v>
      </c>
      <c r="J390" s="104">
        <v>0.0</v>
      </c>
      <c r="K390" s="110" t="s">
        <v>1120</v>
      </c>
      <c r="L390" s="110" t="s">
        <v>1123</v>
      </c>
    </row>
    <row r="391">
      <c r="A391" s="110" t="s">
        <v>914</v>
      </c>
      <c r="B391" s="110" t="s">
        <v>1119</v>
      </c>
      <c r="C391" s="110" t="s">
        <v>720</v>
      </c>
      <c r="D391" s="110" t="s">
        <v>210</v>
      </c>
      <c r="E391" s="104">
        <v>0.0</v>
      </c>
      <c r="F391" s="110" t="s">
        <v>1124</v>
      </c>
      <c r="G391" s="110" t="s">
        <v>728</v>
      </c>
      <c r="H391" s="112">
        <v>45741.0</v>
      </c>
      <c r="I391" s="104">
        <v>0.0</v>
      </c>
      <c r="J391" s="104">
        <v>0.0</v>
      </c>
      <c r="K391" s="110" t="s">
        <v>1120</v>
      </c>
      <c r="L391" s="110" t="s">
        <v>1125</v>
      </c>
    </row>
    <row r="392">
      <c r="A392" s="110" t="s">
        <v>916</v>
      </c>
      <c r="B392" s="104">
        <v>0.0</v>
      </c>
      <c r="C392" s="110" t="s">
        <v>293</v>
      </c>
      <c r="D392" s="110" t="s">
        <v>226</v>
      </c>
      <c r="E392" s="104">
        <v>0.0</v>
      </c>
      <c r="F392" s="104">
        <v>0.0</v>
      </c>
      <c r="G392" s="104">
        <v>0.0</v>
      </c>
      <c r="H392" s="104" t="s">
        <v>232</v>
      </c>
      <c r="I392" s="110" t="s">
        <v>1126</v>
      </c>
      <c r="J392" s="104">
        <v>0.0</v>
      </c>
      <c r="K392" s="110" t="s">
        <v>1127</v>
      </c>
      <c r="L392" s="110" t="s">
        <v>1128</v>
      </c>
    </row>
    <row r="393">
      <c r="A393" s="110" t="s">
        <v>918</v>
      </c>
      <c r="B393" s="104">
        <v>0.0</v>
      </c>
      <c r="C393" s="110" t="s">
        <v>1129</v>
      </c>
      <c r="D393" s="110" t="s">
        <v>612</v>
      </c>
      <c r="E393" s="104">
        <v>0.0</v>
      </c>
      <c r="F393" s="110" t="s">
        <v>1130</v>
      </c>
      <c r="G393" s="104">
        <v>7.26</v>
      </c>
      <c r="H393" s="112">
        <v>45915.0</v>
      </c>
      <c r="I393" s="110" t="s">
        <v>918</v>
      </c>
      <c r="J393" s="104">
        <v>0.0</v>
      </c>
      <c r="K393" s="110" t="s">
        <v>1131</v>
      </c>
      <c r="L393" s="110" t="s">
        <v>1132</v>
      </c>
    </row>
    <row r="394">
      <c r="A394" s="110" t="s">
        <v>921</v>
      </c>
      <c r="B394" s="104">
        <v>0.0</v>
      </c>
      <c r="C394" s="110" t="s">
        <v>1133</v>
      </c>
      <c r="D394" s="110" t="s">
        <v>1134</v>
      </c>
      <c r="E394" s="104">
        <v>0.0</v>
      </c>
      <c r="F394" s="104">
        <v>37.48</v>
      </c>
      <c r="G394" s="110" t="s">
        <v>1135</v>
      </c>
      <c r="H394" s="112">
        <v>45812.0</v>
      </c>
      <c r="I394" s="110" t="s">
        <v>1136</v>
      </c>
      <c r="J394" s="104">
        <v>0.0</v>
      </c>
      <c r="K394" s="110" t="s">
        <v>1137</v>
      </c>
      <c r="L394" s="110" t="s">
        <v>1138</v>
      </c>
    </row>
    <row r="395">
      <c r="A395" s="110" t="s">
        <v>922</v>
      </c>
      <c r="B395" s="104">
        <v>0.0</v>
      </c>
      <c r="C395" s="110" t="s">
        <v>1133</v>
      </c>
      <c r="D395" s="110" t="s">
        <v>1134</v>
      </c>
      <c r="E395" s="104">
        <v>0.0</v>
      </c>
      <c r="F395" s="104">
        <v>45.64</v>
      </c>
      <c r="G395" s="110" t="s">
        <v>540</v>
      </c>
      <c r="H395" s="112">
        <v>45812.0</v>
      </c>
      <c r="I395" s="110" t="s">
        <v>1139</v>
      </c>
      <c r="J395" s="104">
        <v>0.0</v>
      </c>
      <c r="K395" s="110" t="s">
        <v>1140</v>
      </c>
      <c r="L395" s="110" t="s">
        <v>1141</v>
      </c>
    </row>
    <row r="396">
      <c r="A396" s="110" t="s">
        <v>923</v>
      </c>
      <c r="B396" s="104">
        <v>0.0</v>
      </c>
      <c r="C396" s="110" t="s">
        <v>1133</v>
      </c>
      <c r="D396" s="110" t="s">
        <v>1134</v>
      </c>
      <c r="E396" s="104">
        <v>0.0</v>
      </c>
      <c r="F396" s="104">
        <v>83.78</v>
      </c>
      <c r="G396" s="110" t="s">
        <v>540</v>
      </c>
      <c r="H396" s="112">
        <v>45876.0</v>
      </c>
      <c r="I396" s="110" t="s">
        <v>923</v>
      </c>
      <c r="J396" s="104">
        <v>0.0</v>
      </c>
      <c r="K396" s="110" t="s">
        <v>1142</v>
      </c>
      <c r="L396" s="110" t="s">
        <v>1143</v>
      </c>
    </row>
    <row r="397">
      <c r="A397" s="110" t="s">
        <v>924</v>
      </c>
      <c r="B397" s="104">
        <v>0.0</v>
      </c>
      <c r="C397" s="110" t="s">
        <v>1133</v>
      </c>
      <c r="D397" s="110" t="s">
        <v>1134</v>
      </c>
      <c r="E397" s="104">
        <v>0.0</v>
      </c>
      <c r="F397" s="104">
        <v>59.65</v>
      </c>
      <c r="G397" s="110" t="s">
        <v>540</v>
      </c>
      <c r="H397" s="112">
        <v>45687.0</v>
      </c>
      <c r="I397" s="110" t="s">
        <v>924</v>
      </c>
      <c r="J397" s="104">
        <v>0.0</v>
      </c>
      <c r="K397" s="110" t="s">
        <v>1144</v>
      </c>
      <c r="L397" s="110" t="s">
        <v>1145</v>
      </c>
    </row>
    <row r="398">
      <c r="A398" s="110" t="s">
        <v>927</v>
      </c>
      <c r="B398" s="104">
        <v>0.0</v>
      </c>
      <c r="C398" s="110" t="s">
        <v>1133</v>
      </c>
      <c r="D398" s="110" t="s">
        <v>1134</v>
      </c>
      <c r="E398" s="104">
        <v>0.0</v>
      </c>
      <c r="F398" s="104">
        <v>32.64</v>
      </c>
      <c r="G398" s="110" t="s">
        <v>238</v>
      </c>
      <c r="H398" s="112">
        <v>45715.0</v>
      </c>
      <c r="I398" s="104">
        <v>0.0</v>
      </c>
      <c r="J398" s="104">
        <v>0.0</v>
      </c>
      <c r="K398" s="110" t="s">
        <v>1146</v>
      </c>
      <c r="L398" s="110" t="s">
        <v>1147</v>
      </c>
    </row>
    <row r="399">
      <c r="A399" s="110" t="s">
        <v>930</v>
      </c>
      <c r="B399" s="104">
        <v>0.0</v>
      </c>
      <c r="C399" s="110" t="s">
        <v>1133</v>
      </c>
      <c r="D399" s="110" t="s">
        <v>1134</v>
      </c>
      <c r="E399" s="104">
        <v>0.0</v>
      </c>
      <c r="F399" s="104">
        <v>68.45</v>
      </c>
      <c r="G399" s="110" t="s">
        <v>540</v>
      </c>
      <c r="H399" s="112">
        <v>45868.0</v>
      </c>
      <c r="I399" s="110" t="s">
        <v>930</v>
      </c>
      <c r="J399" s="104">
        <v>0.0</v>
      </c>
      <c r="K399" s="110" t="s">
        <v>1148</v>
      </c>
      <c r="L399" s="110" t="s">
        <v>1149</v>
      </c>
    </row>
    <row r="400">
      <c r="A400" s="110" t="s">
        <v>932</v>
      </c>
      <c r="B400" s="104">
        <v>0.0</v>
      </c>
      <c r="C400" s="110" t="s">
        <v>1133</v>
      </c>
      <c r="D400" s="110" t="s">
        <v>1134</v>
      </c>
      <c r="E400" s="104">
        <v>0.0</v>
      </c>
      <c r="F400" s="104">
        <v>65.16</v>
      </c>
      <c r="G400" s="110" t="s">
        <v>540</v>
      </c>
      <c r="H400" s="112">
        <v>45687.0</v>
      </c>
      <c r="I400" s="104">
        <v>0.0</v>
      </c>
      <c r="J400" s="104">
        <v>0.0</v>
      </c>
      <c r="K400" s="110" t="s">
        <v>1150</v>
      </c>
      <c r="L400" s="110" t="s">
        <v>1151</v>
      </c>
    </row>
    <row r="401">
      <c r="A401" s="110" t="s">
        <v>934</v>
      </c>
      <c r="B401" s="104">
        <v>0.0</v>
      </c>
      <c r="C401" s="110" t="s">
        <v>1133</v>
      </c>
      <c r="D401" s="110" t="s">
        <v>1134</v>
      </c>
      <c r="E401" s="104">
        <v>0.0</v>
      </c>
      <c r="F401" s="104">
        <v>68.45</v>
      </c>
      <c r="G401" s="110" t="s">
        <v>540</v>
      </c>
      <c r="H401" s="112">
        <v>45954.0</v>
      </c>
      <c r="I401" s="110" t="s">
        <v>1152</v>
      </c>
      <c r="J401" s="104">
        <v>0.0</v>
      </c>
      <c r="K401" s="110" t="s">
        <v>1153</v>
      </c>
      <c r="L401" s="110" t="s">
        <v>1154</v>
      </c>
    </row>
    <row r="402">
      <c r="A402" s="110" t="s">
        <v>936</v>
      </c>
      <c r="B402" s="104">
        <v>0.0</v>
      </c>
      <c r="C402" s="110" t="s">
        <v>1133</v>
      </c>
      <c r="D402" s="110" t="s">
        <v>1134</v>
      </c>
      <c r="E402" s="104">
        <v>0.0</v>
      </c>
      <c r="F402" s="104">
        <v>96.25</v>
      </c>
      <c r="G402" s="110" t="s">
        <v>540</v>
      </c>
      <c r="H402" s="112">
        <v>45687.0</v>
      </c>
      <c r="I402" s="104">
        <v>0.0</v>
      </c>
      <c r="J402" s="104">
        <v>0.0</v>
      </c>
      <c r="K402" s="110" t="s">
        <v>1155</v>
      </c>
      <c r="L402" s="110" t="s">
        <v>1156</v>
      </c>
    </row>
    <row r="403">
      <c r="A403" s="110" t="s">
        <v>939</v>
      </c>
      <c r="B403" s="104">
        <v>0.0</v>
      </c>
      <c r="C403" s="110" t="s">
        <v>1133</v>
      </c>
      <c r="D403" s="110" t="s">
        <v>1134</v>
      </c>
      <c r="E403" s="104">
        <v>0.0</v>
      </c>
      <c r="F403" s="104">
        <v>36.16</v>
      </c>
      <c r="G403" s="110" t="s">
        <v>540</v>
      </c>
      <c r="H403" s="112">
        <v>45954.0</v>
      </c>
      <c r="I403" s="110" t="s">
        <v>1157</v>
      </c>
      <c r="J403" s="104">
        <v>0.0</v>
      </c>
      <c r="K403" s="110" t="s">
        <v>1158</v>
      </c>
      <c r="L403" s="110" t="s">
        <v>1159</v>
      </c>
    </row>
    <row r="404">
      <c r="A404" s="110" t="s">
        <v>942</v>
      </c>
      <c r="B404" s="104">
        <v>0.0</v>
      </c>
      <c r="C404" s="110" t="s">
        <v>1133</v>
      </c>
      <c r="D404" s="110" t="s">
        <v>1134</v>
      </c>
      <c r="E404" s="104">
        <v>0.0</v>
      </c>
      <c r="F404" s="104">
        <v>18.53</v>
      </c>
      <c r="G404" s="110" t="s">
        <v>540</v>
      </c>
      <c r="H404" s="112">
        <v>45687.0</v>
      </c>
      <c r="I404" s="104">
        <v>0.0</v>
      </c>
      <c r="J404" s="104">
        <v>0.0</v>
      </c>
      <c r="K404" s="110" t="s">
        <v>1160</v>
      </c>
      <c r="L404" s="110" t="s">
        <v>1161</v>
      </c>
    </row>
    <row r="405">
      <c r="A405" s="110" t="s">
        <v>945</v>
      </c>
      <c r="B405" s="104">
        <v>0.0</v>
      </c>
      <c r="C405" s="110" t="s">
        <v>1133</v>
      </c>
      <c r="D405" s="110" t="s">
        <v>1134</v>
      </c>
      <c r="E405" s="104">
        <v>0.0</v>
      </c>
      <c r="F405" s="104">
        <v>68.03</v>
      </c>
      <c r="G405" s="110" t="s">
        <v>540</v>
      </c>
      <c r="H405" s="112">
        <v>45687.0</v>
      </c>
      <c r="I405" s="104">
        <v>0.0</v>
      </c>
      <c r="J405" s="104">
        <v>0.0</v>
      </c>
      <c r="K405" s="110" t="s">
        <v>1162</v>
      </c>
      <c r="L405" s="110" t="s">
        <v>1163</v>
      </c>
    </row>
    <row r="406">
      <c r="A406" s="110" t="s">
        <v>947</v>
      </c>
      <c r="B406" s="104">
        <v>0.0</v>
      </c>
      <c r="C406" s="110" t="s">
        <v>1133</v>
      </c>
      <c r="D406" s="110" t="s">
        <v>1134</v>
      </c>
      <c r="E406" s="104">
        <v>0.0</v>
      </c>
      <c r="F406" s="104">
        <v>65.3</v>
      </c>
      <c r="G406" s="110" t="s">
        <v>1135</v>
      </c>
      <c r="H406" s="112">
        <v>45812.0</v>
      </c>
      <c r="I406" s="110" t="s">
        <v>1164</v>
      </c>
      <c r="J406" s="104">
        <v>0.0</v>
      </c>
      <c r="K406" s="110" t="s">
        <v>1165</v>
      </c>
      <c r="L406" s="110" t="s">
        <v>1166</v>
      </c>
    </row>
    <row r="407">
      <c r="A407" s="110" t="s">
        <v>949</v>
      </c>
      <c r="B407" s="104">
        <v>0.0</v>
      </c>
      <c r="C407" s="110" t="s">
        <v>1133</v>
      </c>
      <c r="D407" s="110" t="s">
        <v>1134</v>
      </c>
      <c r="E407" s="104">
        <v>0.0</v>
      </c>
      <c r="F407" s="104">
        <v>65.91</v>
      </c>
      <c r="G407" s="110" t="s">
        <v>540</v>
      </c>
      <c r="H407" s="112">
        <v>45812.0</v>
      </c>
      <c r="I407" s="110" t="s">
        <v>1164</v>
      </c>
      <c r="J407" s="104">
        <v>0.0</v>
      </c>
      <c r="K407" s="110" t="s">
        <v>1167</v>
      </c>
      <c r="L407" s="110" t="s">
        <v>1168</v>
      </c>
    </row>
    <row r="408">
      <c r="A408" s="110" t="s">
        <v>951</v>
      </c>
      <c r="B408" s="104">
        <v>0.0</v>
      </c>
      <c r="C408" s="110" t="s">
        <v>1133</v>
      </c>
      <c r="D408" s="110" t="s">
        <v>1134</v>
      </c>
      <c r="E408" s="104">
        <v>0.0</v>
      </c>
      <c r="F408" s="104">
        <v>41.33</v>
      </c>
      <c r="G408" s="110" t="s">
        <v>540</v>
      </c>
      <c r="H408" s="112">
        <v>45807.0</v>
      </c>
      <c r="I408" s="110" t="s">
        <v>951</v>
      </c>
      <c r="J408" s="104">
        <v>0.0</v>
      </c>
      <c r="K408" s="110" t="s">
        <v>1169</v>
      </c>
      <c r="L408" s="110" t="s">
        <v>1170</v>
      </c>
    </row>
    <row r="409">
      <c r="A409" s="110" t="s">
        <v>953</v>
      </c>
      <c r="B409" s="104">
        <v>0.0</v>
      </c>
      <c r="C409" s="110" t="s">
        <v>344</v>
      </c>
      <c r="D409" s="110" t="s">
        <v>210</v>
      </c>
      <c r="E409" s="104">
        <v>0.0</v>
      </c>
      <c r="F409" s="104">
        <v>10.5</v>
      </c>
      <c r="G409" s="110" t="s">
        <v>345</v>
      </c>
      <c r="H409" s="112">
        <v>45854.0</v>
      </c>
      <c r="I409" s="110" t="s">
        <v>953</v>
      </c>
      <c r="J409" s="104">
        <v>0.0</v>
      </c>
      <c r="K409" s="110" t="s">
        <v>1171</v>
      </c>
      <c r="L409" s="110" t="s">
        <v>1172</v>
      </c>
    </row>
    <row r="410">
      <c r="A410" s="110" t="s">
        <v>955</v>
      </c>
      <c r="B410" s="104">
        <v>0.0</v>
      </c>
      <c r="C410" s="110" t="s">
        <v>293</v>
      </c>
      <c r="D410" s="110" t="s">
        <v>217</v>
      </c>
      <c r="E410" s="104">
        <v>0.0</v>
      </c>
      <c r="F410" s="104">
        <v>0.0</v>
      </c>
      <c r="G410" s="104">
        <v>0.0</v>
      </c>
      <c r="H410" s="104" t="s">
        <v>232</v>
      </c>
      <c r="I410" s="104">
        <v>0.0</v>
      </c>
      <c r="J410" s="104">
        <v>0.0</v>
      </c>
      <c r="K410" s="110" t="s">
        <v>1173</v>
      </c>
      <c r="L410" s="110" t="s">
        <v>1174</v>
      </c>
    </row>
    <row r="411">
      <c r="A411" s="110" t="s">
        <v>957</v>
      </c>
      <c r="B411" s="104">
        <v>0.0</v>
      </c>
      <c r="C411" s="110" t="s">
        <v>386</v>
      </c>
      <c r="D411" s="110" t="s">
        <v>217</v>
      </c>
      <c r="E411" s="104">
        <v>0.0</v>
      </c>
      <c r="F411" s="104">
        <v>296.0</v>
      </c>
      <c r="G411" s="110" t="s">
        <v>211</v>
      </c>
      <c r="H411" s="112">
        <v>45693.0</v>
      </c>
      <c r="I411" s="104">
        <v>0.0</v>
      </c>
      <c r="J411" s="104">
        <v>0.0</v>
      </c>
      <c r="K411" s="110" t="s">
        <v>1175</v>
      </c>
      <c r="L411" s="110" t="s">
        <v>1176</v>
      </c>
    </row>
    <row r="412">
      <c r="A412" s="110" t="s">
        <v>959</v>
      </c>
      <c r="B412" s="104">
        <v>0.0</v>
      </c>
      <c r="C412" s="110" t="s">
        <v>337</v>
      </c>
      <c r="D412" s="110" t="s">
        <v>217</v>
      </c>
      <c r="E412" s="104">
        <v>0.0</v>
      </c>
      <c r="F412" s="104">
        <v>630.0</v>
      </c>
      <c r="G412" s="110" t="s">
        <v>302</v>
      </c>
      <c r="H412" s="112">
        <v>45693.0</v>
      </c>
      <c r="I412" s="104">
        <v>0.0</v>
      </c>
      <c r="J412" s="104">
        <v>0.0</v>
      </c>
      <c r="K412" s="110" t="s">
        <v>1177</v>
      </c>
      <c r="L412" s="110" t="s">
        <v>1178</v>
      </c>
    </row>
    <row r="413">
      <c r="A413" s="110" t="s">
        <v>961</v>
      </c>
      <c r="B413" s="104">
        <v>0.0</v>
      </c>
      <c r="C413" s="110" t="s">
        <v>317</v>
      </c>
      <c r="D413" s="110" t="s">
        <v>210</v>
      </c>
      <c r="E413" s="104">
        <v>0.0</v>
      </c>
      <c r="F413" s="104">
        <v>500.0</v>
      </c>
      <c r="G413" s="104">
        <v>0.0</v>
      </c>
      <c r="H413" s="112">
        <v>45874.0</v>
      </c>
      <c r="I413" s="104">
        <v>0.0</v>
      </c>
      <c r="J413" s="104">
        <v>0.0</v>
      </c>
      <c r="K413" s="110" t="s">
        <v>1179</v>
      </c>
      <c r="L413" s="110" t="s">
        <v>1180</v>
      </c>
    </row>
    <row r="414">
      <c r="A414" s="110" t="s">
        <v>961</v>
      </c>
      <c r="B414" s="104">
        <v>0.0</v>
      </c>
      <c r="C414" s="110" t="s">
        <v>337</v>
      </c>
      <c r="D414" s="110" t="s">
        <v>217</v>
      </c>
      <c r="E414" s="104">
        <v>0.0</v>
      </c>
      <c r="F414" s="104">
        <v>1050.0</v>
      </c>
      <c r="G414" s="110" t="s">
        <v>302</v>
      </c>
      <c r="H414" s="112">
        <v>45693.0</v>
      </c>
      <c r="I414" s="104">
        <v>0.0</v>
      </c>
      <c r="J414" s="104">
        <v>0.0</v>
      </c>
      <c r="K414" s="110" t="s">
        <v>1181</v>
      </c>
      <c r="L414" s="110" t="s">
        <v>1182</v>
      </c>
    </row>
    <row r="415">
      <c r="A415" s="110" t="s">
        <v>961</v>
      </c>
      <c r="B415" s="104">
        <v>0.0</v>
      </c>
      <c r="C415" s="110" t="s">
        <v>993</v>
      </c>
      <c r="D415" s="110" t="s">
        <v>217</v>
      </c>
      <c r="E415" s="104">
        <v>0.0</v>
      </c>
      <c r="F415" s="104">
        <v>490.0</v>
      </c>
      <c r="G415" s="110" t="s">
        <v>1183</v>
      </c>
      <c r="H415" s="112">
        <v>45707.0</v>
      </c>
      <c r="I415" s="104">
        <v>0.0</v>
      </c>
      <c r="J415" s="104">
        <v>0.0</v>
      </c>
      <c r="K415" s="110" t="s">
        <v>1184</v>
      </c>
      <c r="L415" s="110" t="s">
        <v>1185</v>
      </c>
    </row>
    <row r="416">
      <c r="A416" s="110" t="s">
        <v>962</v>
      </c>
      <c r="B416" s="104">
        <v>0.0</v>
      </c>
      <c r="C416" s="110" t="s">
        <v>588</v>
      </c>
      <c r="D416" s="110" t="s">
        <v>201</v>
      </c>
      <c r="E416" s="110" t="s">
        <v>1186</v>
      </c>
      <c r="F416" s="104">
        <v>15.0</v>
      </c>
      <c r="G416" s="110" t="s">
        <v>238</v>
      </c>
      <c r="H416" s="112">
        <v>45987.0</v>
      </c>
      <c r="I416" s="110" t="s">
        <v>962</v>
      </c>
      <c r="J416" s="104">
        <v>0.0</v>
      </c>
      <c r="K416" s="110" t="s">
        <v>1187</v>
      </c>
      <c r="L416" s="110" t="s">
        <v>1188</v>
      </c>
    </row>
    <row r="417">
      <c r="A417" s="110" t="s">
        <v>965</v>
      </c>
      <c r="B417" s="104">
        <v>0.0</v>
      </c>
      <c r="C417" s="110" t="s">
        <v>331</v>
      </c>
      <c r="D417" s="110" t="s">
        <v>201</v>
      </c>
      <c r="E417" s="104">
        <v>0.0</v>
      </c>
      <c r="F417" s="104">
        <v>25.0</v>
      </c>
      <c r="G417" s="110" t="s">
        <v>338</v>
      </c>
      <c r="H417" s="112">
        <v>45987.0</v>
      </c>
      <c r="I417" s="110" t="s">
        <v>965</v>
      </c>
      <c r="J417" s="104">
        <v>0.0</v>
      </c>
      <c r="K417" s="110" t="s">
        <v>1189</v>
      </c>
      <c r="L417" s="110" t="s">
        <v>1190</v>
      </c>
    </row>
    <row r="418">
      <c r="A418" s="110" t="s">
        <v>967</v>
      </c>
      <c r="B418" s="104">
        <v>0.0</v>
      </c>
      <c r="C418" s="110" t="s">
        <v>331</v>
      </c>
      <c r="D418" s="110" t="s">
        <v>205</v>
      </c>
      <c r="E418" s="104">
        <v>0.0</v>
      </c>
      <c r="F418" s="104">
        <v>51.0</v>
      </c>
      <c r="G418" s="110" t="s">
        <v>334</v>
      </c>
      <c r="H418" s="112">
        <v>45986.0</v>
      </c>
      <c r="I418" s="110" t="s">
        <v>967</v>
      </c>
      <c r="J418" s="104">
        <v>0.0</v>
      </c>
      <c r="K418" s="110" t="s">
        <v>1191</v>
      </c>
      <c r="L418" s="110" t="s">
        <v>1192</v>
      </c>
    </row>
    <row r="419">
      <c r="A419" s="110" t="s">
        <v>969</v>
      </c>
      <c r="B419" s="104">
        <v>0.0</v>
      </c>
      <c r="C419" s="110" t="s">
        <v>1193</v>
      </c>
      <c r="D419" s="110" t="s">
        <v>210</v>
      </c>
      <c r="E419" s="104">
        <v>0.0</v>
      </c>
      <c r="F419" s="104">
        <v>19.75</v>
      </c>
      <c r="G419" s="110" t="s">
        <v>238</v>
      </c>
      <c r="H419" s="112">
        <v>45833.0</v>
      </c>
      <c r="I419" s="110" t="s">
        <v>969</v>
      </c>
      <c r="J419" s="104">
        <v>0.0</v>
      </c>
      <c r="K419" s="110" t="s">
        <v>1194</v>
      </c>
      <c r="L419" s="110" t="s">
        <v>1195</v>
      </c>
    </row>
    <row r="420">
      <c r="A420" s="110" t="s">
        <v>971</v>
      </c>
      <c r="B420" s="104">
        <v>0.0</v>
      </c>
      <c r="C420" s="110" t="s">
        <v>365</v>
      </c>
      <c r="D420" s="110" t="s">
        <v>322</v>
      </c>
      <c r="E420" s="104">
        <v>0.0</v>
      </c>
      <c r="F420" s="104">
        <v>0.0</v>
      </c>
      <c r="G420" s="104">
        <v>0.0</v>
      </c>
      <c r="H420" s="104" t="s">
        <v>232</v>
      </c>
      <c r="I420" s="104">
        <v>0.0</v>
      </c>
      <c r="J420" s="104">
        <v>0.0</v>
      </c>
      <c r="K420" s="110" t="s">
        <v>1196</v>
      </c>
      <c r="L420" s="110" t="s">
        <v>1197</v>
      </c>
    </row>
    <row r="421">
      <c r="A421" s="110" t="s">
        <v>973</v>
      </c>
      <c r="B421" s="110" t="s">
        <v>1198</v>
      </c>
      <c r="C421" s="110" t="s">
        <v>273</v>
      </c>
      <c r="D421" s="110" t="s">
        <v>210</v>
      </c>
      <c r="E421" s="104">
        <v>0.0</v>
      </c>
      <c r="F421" s="104">
        <v>6.99</v>
      </c>
      <c r="G421" s="110" t="s">
        <v>1199</v>
      </c>
      <c r="H421" s="112">
        <v>45719.0</v>
      </c>
      <c r="I421" s="110" t="s">
        <v>1200</v>
      </c>
      <c r="J421" s="104">
        <v>0.0</v>
      </c>
      <c r="K421" s="110" t="s">
        <v>1201</v>
      </c>
      <c r="L421" s="110" t="s">
        <v>1202</v>
      </c>
    </row>
    <row r="422">
      <c r="A422" s="110" t="s">
        <v>973</v>
      </c>
      <c r="B422" s="104">
        <v>0.0</v>
      </c>
      <c r="C422" s="110" t="s">
        <v>1203</v>
      </c>
      <c r="D422" s="110" t="s">
        <v>217</v>
      </c>
      <c r="E422" s="104">
        <v>0.0</v>
      </c>
      <c r="F422" s="104">
        <v>19.5</v>
      </c>
      <c r="G422" s="110" t="s">
        <v>238</v>
      </c>
      <c r="H422" s="112">
        <v>45995.0</v>
      </c>
      <c r="I422" s="110" t="s">
        <v>973</v>
      </c>
      <c r="J422" s="104">
        <v>0.0</v>
      </c>
      <c r="K422" s="110" t="s">
        <v>1204</v>
      </c>
      <c r="L422" s="110" t="s">
        <v>1205</v>
      </c>
    </row>
    <row r="423">
      <c r="A423" s="110" t="s">
        <v>975</v>
      </c>
      <c r="B423" s="110" t="s">
        <v>1206</v>
      </c>
      <c r="C423" s="110" t="s">
        <v>325</v>
      </c>
      <c r="D423" s="110" t="s">
        <v>210</v>
      </c>
      <c r="E423" s="104">
        <v>0.0</v>
      </c>
      <c r="F423" s="104">
        <v>40.16</v>
      </c>
      <c r="G423" s="110" t="s">
        <v>218</v>
      </c>
      <c r="H423" s="112">
        <v>45807.0</v>
      </c>
      <c r="I423" s="110" t="s">
        <v>1207</v>
      </c>
      <c r="J423" s="104">
        <v>0.0</v>
      </c>
      <c r="K423" s="110" t="s">
        <v>1208</v>
      </c>
      <c r="L423" s="110" t="s">
        <v>1209</v>
      </c>
    </row>
    <row r="424">
      <c r="A424" s="110" t="s">
        <v>976</v>
      </c>
      <c r="B424" s="110" t="s">
        <v>1210</v>
      </c>
      <c r="C424" s="110" t="s">
        <v>261</v>
      </c>
      <c r="D424" s="110" t="s">
        <v>210</v>
      </c>
      <c r="E424" s="104">
        <v>0.0</v>
      </c>
      <c r="F424" s="104">
        <v>8.3</v>
      </c>
      <c r="G424" s="110" t="s">
        <v>268</v>
      </c>
      <c r="H424" s="112">
        <v>45807.0</v>
      </c>
      <c r="I424" s="110" t="s">
        <v>1207</v>
      </c>
      <c r="J424" s="104">
        <v>0.0</v>
      </c>
      <c r="K424" s="110" t="s">
        <v>1211</v>
      </c>
      <c r="L424" s="110" t="s">
        <v>1212</v>
      </c>
    </row>
    <row r="425">
      <c r="A425" s="110" t="s">
        <v>976</v>
      </c>
      <c r="B425" s="110" t="s">
        <v>1210</v>
      </c>
      <c r="C425" s="110" t="s">
        <v>261</v>
      </c>
      <c r="D425" s="110" t="s">
        <v>210</v>
      </c>
      <c r="E425" s="104">
        <v>0.0</v>
      </c>
      <c r="F425" s="104">
        <v>9.0</v>
      </c>
      <c r="G425" s="110" t="s">
        <v>373</v>
      </c>
      <c r="H425" s="112">
        <v>45807.0</v>
      </c>
      <c r="I425" s="110" t="s">
        <v>1207</v>
      </c>
      <c r="J425" s="104">
        <v>0.0</v>
      </c>
      <c r="K425" s="110" t="s">
        <v>1211</v>
      </c>
      <c r="L425" s="110" t="s">
        <v>1213</v>
      </c>
    </row>
    <row r="426">
      <c r="A426" s="110" t="s">
        <v>976</v>
      </c>
      <c r="B426" s="110" t="s">
        <v>1210</v>
      </c>
      <c r="C426" s="110" t="s">
        <v>261</v>
      </c>
      <c r="D426" s="110" t="s">
        <v>210</v>
      </c>
      <c r="E426" s="104">
        <v>0.0</v>
      </c>
      <c r="F426" s="104">
        <v>10.3</v>
      </c>
      <c r="G426" s="110" t="s">
        <v>1214</v>
      </c>
      <c r="H426" s="112">
        <v>45747.0</v>
      </c>
      <c r="I426" s="104">
        <v>0.0</v>
      </c>
      <c r="J426" s="104">
        <v>0.0</v>
      </c>
      <c r="K426" s="110" t="s">
        <v>1211</v>
      </c>
      <c r="L426" s="110" t="s">
        <v>1215</v>
      </c>
    </row>
    <row r="427">
      <c r="A427" s="110" t="s">
        <v>979</v>
      </c>
      <c r="B427" s="104">
        <v>0.0</v>
      </c>
      <c r="C427" s="110" t="s">
        <v>1086</v>
      </c>
      <c r="D427" s="110" t="s">
        <v>226</v>
      </c>
      <c r="E427" s="104">
        <v>0.0</v>
      </c>
      <c r="F427" s="104">
        <v>2.58</v>
      </c>
      <c r="G427" s="110" t="s">
        <v>1087</v>
      </c>
      <c r="H427" s="112">
        <v>45849.0</v>
      </c>
      <c r="I427" s="110" t="s">
        <v>979</v>
      </c>
      <c r="J427" s="104">
        <v>0.0</v>
      </c>
      <c r="K427" s="110" t="s">
        <v>1216</v>
      </c>
      <c r="L427" s="110" t="s">
        <v>1217</v>
      </c>
    </row>
    <row r="428">
      <c r="A428" s="110" t="s">
        <v>979</v>
      </c>
      <c r="B428" s="104">
        <v>0.0</v>
      </c>
      <c r="C428" s="110" t="s">
        <v>1086</v>
      </c>
      <c r="D428" s="110" t="s">
        <v>226</v>
      </c>
      <c r="E428" s="104">
        <v>0.0</v>
      </c>
      <c r="F428" s="104">
        <v>2.91</v>
      </c>
      <c r="G428" s="110" t="s">
        <v>1091</v>
      </c>
      <c r="H428" s="112">
        <v>45849.0</v>
      </c>
      <c r="I428" s="110" t="s">
        <v>979</v>
      </c>
      <c r="J428" s="104">
        <v>0.0</v>
      </c>
      <c r="K428" s="110" t="s">
        <v>1216</v>
      </c>
      <c r="L428" s="110" t="s">
        <v>1218</v>
      </c>
    </row>
    <row r="429">
      <c r="A429" s="110" t="s">
        <v>981</v>
      </c>
      <c r="B429" s="104">
        <v>0.0</v>
      </c>
      <c r="C429" s="110" t="s">
        <v>1219</v>
      </c>
      <c r="D429" s="110" t="s">
        <v>226</v>
      </c>
      <c r="E429" s="104">
        <v>0.0</v>
      </c>
      <c r="F429" s="104">
        <v>6.41</v>
      </c>
      <c r="G429" s="110" t="s">
        <v>334</v>
      </c>
      <c r="H429" s="112">
        <v>45863.0</v>
      </c>
      <c r="I429" s="110" t="s">
        <v>981</v>
      </c>
      <c r="J429" s="104">
        <v>0.0</v>
      </c>
      <c r="K429" s="110" t="s">
        <v>1220</v>
      </c>
      <c r="L429" s="110" t="s">
        <v>1221</v>
      </c>
    </row>
    <row r="430">
      <c r="A430" s="110" t="s">
        <v>983</v>
      </c>
      <c r="B430" s="104">
        <v>0.0</v>
      </c>
      <c r="C430" s="110" t="s">
        <v>221</v>
      </c>
      <c r="D430" s="110" t="s">
        <v>226</v>
      </c>
      <c r="E430" s="104">
        <v>0.0</v>
      </c>
      <c r="F430" s="104">
        <v>1.75</v>
      </c>
      <c r="G430" s="110" t="s">
        <v>257</v>
      </c>
      <c r="H430" s="112">
        <v>45846.0</v>
      </c>
      <c r="I430" s="110" t="s">
        <v>979</v>
      </c>
      <c r="J430" s="104">
        <v>0.0</v>
      </c>
      <c r="K430" s="110" t="s">
        <v>1222</v>
      </c>
      <c r="L430" s="110" t="s">
        <v>1223</v>
      </c>
    </row>
    <row r="431">
      <c r="A431" s="110" t="s">
        <v>985</v>
      </c>
      <c r="B431" s="104">
        <v>0.0</v>
      </c>
      <c r="C431" s="110" t="s">
        <v>348</v>
      </c>
      <c r="D431" s="110" t="s">
        <v>226</v>
      </c>
      <c r="E431" s="104">
        <v>0.0</v>
      </c>
      <c r="F431" s="104">
        <v>4.16</v>
      </c>
      <c r="G431" s="110" t="s">
        <v>238</v>
      </c>
      <c r="H431" s="112">
        <v>45849.0</v>
      </c>
      <c r="I431" s="110" t="s">
        <v>1224</v>
      </c>
      <c r="J431" s="104">
        <v>0.0</v>
      </c>
      <c r="K431" s="110" t="s">
        <v>1225</v>
      </c>
      <c r="L431" s="110" t="s">
        <v>1226</v>
      </c>
    </row>
    <row r="432">
      <c r="A432" s="110" t="s">
        <v>988</v>
      </c>
      <c r="B432" s="104">
        <v>0.0</v>
      </c>
      <c r="C432" s="110" t="s">
        <v>337</v>
      </c>
      <c r="D432" s="110" t="s">
        <v>217</v>
      </c>
      <c r="E432" s="104">
        <v>0.0</v>
      </c>
      <c r="F432" s="104">
        <v>15.0</v>
      </c>
      <c r="G432" s="110" t="s">
        <v>238</v>
      </c>
      <c r="H432" s="112">
        <v>45693.0</v>
      </c>
      <c r="I432" s="104">
        <v>0.0</v>
      </c>
      <c r="J432" s="104">
        <v>0.0</v>
      </c>
      <c r="K432" s="110" t="s">
        <v>1227</v>
      </c>
      <c r="L432" s="110" t="s">
        <v>1228</v>
      </c>
    </row>
    <row r="433">
      <c r="A433" s="110" t="s">
        <v>988</v>
      </c>
      <c r="B433" s="104">
        <v>0.0</v>
      </c>
      <c r="C433" s="110" t="s">
        <v>386</v>
      </c>
      <c r="D433" s="110" t="s">
        <v>217</v>
      </c>
      <c r="E433" s="104">
        <v>0.0</v>
      </c>
      <c r="F433" s="104">
        <v>9.5</v>
      </c>
      <c r="G433" s="110" t="s">
        <v>238</v>
      </c>
      <c r="H433" s="112">
        <v>45693.0</v>
      </c>
      <c r="I433" s="104">
        <v>0.0</v>
      </c>
      <c r="J433" s="104">
        <v>0.0</v>
      </c>
      <c r="K433" s="110" t="s">
        <v>1229</v>
      </c>
      <c r="L433" s="110" t="s">
        <v>1230</v>
      </c>
    </row>
    <row r="434">
      <c r="A434" s="110" t="s">
        <v>990</v>
      </c>
      <c r="B434" s="104">
        <v>0.0</v>
      </c>
      <c r="C434" s="110" t="s">
        <v>209</v>
      </c>
      <c r="D434" s="110" t="s">
        <v>217</v>
      </c>
      <c r="E434" s="104">
        <v>0.0</v>
      </c>
      <c r="F434" s="104">
        <v>0.0</v>
      </c>
      <c r="G434" s="104">
        <v>0.0</v>
      </c>
      <c r="H434" s="104" t="s">
        <v>232</v>
      </c>
      <c r="I434" s="104">
        <v>0.0</v>
      </c>
      <c r="J434" s="104">
        <v>0.0</v>
      </c>
      <c r="K434" s="110" t="s">
        <v>1231</v>
      </c>
      <c r="L434" s="110" t="s">
        <v>1232</v>
      </c>
    </row>
    <row r="435">
      <c r="A435" s="110" t="s">
        <v>992</v>
      </c>
      <c r="B435" s="104">
        <v>0.0</v>
      </c>
      <c r="C435" s="110" t="s">
        <v>209</v>
      </c>
      <c r="D435" s="110" t="s">
        <v>217</v>
      </c>
      <c r="E435" s="104">
        <v>0.0</v>
      </c>
      <c r="F435" s="104">
        <v>0.0</v>
      </c>
      <c r="G435" s="104">
        <v>0.0</v>
      </c>
      <c r="H435" s="104" t="s">
        <v>232</v>
      </c>
      <c r="I435" s="104">
        <v>0.0</v>
      </c>
      <c r="J435" s="104">
        <v>0.0</v>
      </c>
      <c r="K435" s="110" t="s">
        <v>1233</v>
      </c>
      <c r="L435" s="110" t="s">
        <v>1234</v>
      </c>
    </row>
    <row r="436">
      <c r="A436" s="110" t="s">
        <v>996</v>
      </c>
      <c r="B436" s="104">
        <v>0.0</v>
      </c>
      <c r="C436" s="110" t="s">
        <v>1105</v>
      </c>
      <c r="D436" s="110" t="s">
        <v>274</v>
      </c>
      <c r="E436" s="104">
        <v>0.0</v>
      </c>
      <c r="F436" s="104">
        <v>263.0</v>
      </c>
      <c r="G436" s="104">
        <v>100000.0</v>
      </c>
      <c r="H436" s="112">
        <v>45896.0</v>
      </c>
      <c r="I436" s="110" t="s">
        <v>1106</v>
      </c>
      <c r="J436" s="104">
        <v>0.0</v>
      </c>
      <c r="K436" s="110" t="s">
        <v>1235</v>
      </c>
      <c r="L436" s="110" t="s">
        <v>1236</v>
      </c>
    </row>
    <row r="437">
      <c r="A437" s="110" t="s">
        <v>998</v>
      </c>
      <c r="B437" s="104">
        <v>0.0</v>
      </c>
      <c r="C437" s="110" t="s">
        <v>1105</v>
      </c>
      <c r="D437" s="110" t="s">
        <v>274</v>
      </c>
      <c r="E437" s="104">
        <v>0.0</v>
      </c>
      <c r="F437" s="104">
        <v>227.5</v>
      </c>
      <c r="G437" s="104">
        <v>70000.0</v>
      </c>
      <c r="H437" s="112">
        <v>45896.0</v>
      </c>
      <c r="I437" s="110" t="s">
        <v>1106</v>
      </c>
      <c r="J437" s="104">
        <v>0.0</v>
      </c>
      <c r="K437" s="110" t="s">
        <v>1237</v>
      </c>
      <c r="L437" s="110" t="s">
        <v>1238</v>
      </c>
    </row>
    <row r="438">
      <c r="A438" s="110" t="s">
        <v>1000</v>
      </c>
      <c r="B438" s="104">
        <v>0.0</v>
      </c>
      <c r="C438" s="110" t="s">
        <v>1105</v>
      </c>
      <c r="D438" s="110" t="s">
        <v>274</v>
      </c>
      <c r="E438" s="104">
        <v>0.0</v>
      </c>
      <c r="F438" s="104">
        <v>425.5</v>
      </c>
      <c r="G438" s="104">
        <v>50000.0</v>
      </c>
      <c r="H438" s="112">
        <v>45896.0</v>
      </c>
      <c r="I438" s="110" t="s">
        <v>1106</v>
      </c>
      <c r="J438" s="104">
        <v>0.0</v>
      </c>
      <c r="K438" s="110" t="s">
        <v>1239</v>
      </c>
      <c r="L438" s="110" t="s">
        <v>1240</v>
      </c>
    </row>
    <row r="439">
      <c r="A439" s="110" t="s">
        <v>1002</v>
      </c>
      <c r="B439" s="104">
        <v>0.0</v>
      </c>
      <c r="C439" s="110" t="s">
        <v>1105</v>
      </c>
      <c r="D439" s="110" t="s">
        <v>274</v>
      </c>
      <c r="E439" s="104">
        <v>0.0</v>
      </c>
      <c r="F439" s="104">
        <v>322.4</v>
      </c>
      <c r="G439" s="104">
        <v>65000.0</v>
      </c>
      <c r="H439" s="112">
        <v>45896.0</v>
      </c>
      <c r="I439" s="110" t="s">
        <v>1106</v>
      </c>
      <c r="J439" s="104">
        <v>0.0</v>
      </c>
      <c r="K439" s="110" t="s">
        <v>1241</v>
      </c>
      <c r="L439" s="110" t="s">
        <v>1242</v>
      </c>
    </row>
    <row r="440">
      <c r="A440" s="110" t="s">
        <v>1004</v>
      </c>
      <c r="B440" s="104">
        <v>0.0</v>
      </c>
      <c r="C440" s="110" t="s">
        <v>1105</v>
      </c>
      <c r="D440" s="110" t="s">
        <v>274</v>
      </c>
      <c r="E440" s="104">
        <v>0.0</v>
      </c>
      <c r="F440" s="104">
        <v>286.2</v>
      </c>
      <c r="G440" s="104">
        <v>90000.0</v>
      </c>
      <c r="H440" s="112">
        <v>45896.0</v>
      </c>
      <c r="I440" s="110" t="s">
        <v>1106</v>
      </c>
      <c r="J440" s="104">
        <v>0.0</v>
      </c>
      <c r="K440" s="110" t="s">
        <v>1243</v>
      </c>
      <c r="L440" s="110" t="s">
        <v>1244</v>
      </c>
    </row>
    <row r="441">
      <c r="A441" s="110" t="s">
        <v>1006</v>
      </c>
      <c r="B441" s="104">
        <v>0.0</v>
      </c>
      <c r="C441" s="110" t="s">
        <v>1105</v>
      </c>
      <c r="D441" s="110" t="s">
        <v>274</v>
      </c>
      <c r="E441" s="104">
        <v>0.0</v>
      </c>
      <c r="F441" s="104">
        <v>341.9</v>
      </c>
      <c r="G441" s="104">
        <v>130000.0</v>
      </c>
      <c r="H441" s="112">
        <v>45896.0</v>
      </c>
      <c r="I441" s="110" t="s">
        <v>1106</v>
      </c>
      <c r="J441" s="104">
        <v>0.0</v>
      </c>
      <c r="K441" s="110" t="s">
        <v>1245</v>
      </c>
      <c r="L441" s="110" t="s">
        <v>1246</v>
      </c>
    </row>
    <row r="442">
      <c r="A442" s="110" t="s">
        <v>1008</v>
      </c>
      <c r="B442" s="104">
        <v>0.0</v>
      </c>
      <c r="C442" s="110" t="s">
        <v>1105</v>
      </c>
      <c r="D442" s="110" t="s">
        <v>274</v>
      </c>
      <c r="E442" s="104">
        <v>0.0</v>
      </c>
      <c r="F442" s="104">
        <v>585.0</v>
      </c>
      <c r="G442" s="104">
        <v>130000.0</v>
      </c>
      <c r="H442" s="112">
        <v>45896.0</v>
      </c>
      <c r="I442" s="110" t="s">
        <v>1106</v>
      </c>
      <c r="J442" s="104">
        <v>0.0</v>
      </c>
      <c r="K442" s="110" t="s">
        <v>1247</v>
      </c>
      <c r="L442" s="110" t="s">
        <v>1248</v>
      </c>
    </row>
    <row r="443">
      <c r="A443" s="110" t="s">
        <v>1010</v>
      </c>
      <c r="B443" s="104">
        <v>0.0</v>
      </c>
      <c r="C443" s="110" t="s">
        <v>1105</v>
      </c>
      <c r="D443" s="110" t="s">
        <v>274</v>
      </c>
      <c r="E443" s="104">
        <v>0.0</v>
      </c>
      <c r="F443" s="104">
        <v>500.5</v>
      </c>
      <c r="G443" s="104">
        <v>130000.0</v>
      </c>
      <c r="H443" s="112">
        <v>45896.0</v>
      </c>
      <c r="I443" s="110" t="s">
        <v>1106</v>
      </c>
      <c r="J443" s="104">
        <v>0.0</v>
      </c>
      <c r="K443" s="110" t="s">
        <v>1249</v>
      </c>
      <c r="L443" s="110" t="s">
        <v>1250</v>
      </c>
    </row>
    <row r="444">
      <c r="A444" s="110" t="s">
        <v>1012</v>
      </c>
      <c r="B444" s="104">
        <v>0.0</v>
      </c>
      <c r="C444" s="110" t="s">
        <v>1105</v>
      </c>
      <c r="D444" s="110" t="s">
        <v>274</v>
      </c>
      <c r="E444" s="104">
        <v>0.0</v>
      </c>
      <c r="F444" s="104">
        <v>491.3</v>
      </c>
      <c r="G444" s="104">
        <v>170000.0</v>
      </c>
      <c r="H444" s="112">
        <v>45896.0</v>
      </c>
      <c r="I444" s="110" t="s">
        <v>1106</v>
      </c>
      <c r="J444" s="104">
        <v>0.0</v>
      </c>
      <c r="K444" s="110" t="s">
        <v>1251</v>
      </c>
      <c r="L444" s="110" t="s">
        <v>1252</v>
      </c>
    </row>
    <row r="445">
      <c r="A445" s="110" t="s">
        <v>1014</v>
      </c>
      <c r="B445" s="104">
        <v>0.0</v>
      </c>
      <c r="C445" s="110" t="s">
        <v>1105</v>
      </c>
      <c r="D445" s="110" t="s">
        <v>274</v>
      </c>
      <c r="E445" s="104">
        <v>0.0</v>
      </c>
      <c r="F445" s="104">
        <v>1920.0</v>
      </c>
      <c r="G445" s="104">
        <v>300000.0</v>
      </c>
      <c r="H445" s="112">
        <v>45896.0</v>
      </c>
      <c r="I445" s="110" t="s">
        <v>1106</v>
      </c>
      <c r="J445" s="104">
        <v>0.0</v>
      </c>
      <c r="K445" s="110" t="s">
        <v>1253</v>
      </c>
      <c r="L445" s="110" t="s">
        <v>1254</v>
      </c>
    </row>
    <row r="446">
      <c r="A446" s="110" t="s">
        <v>1016</v>
      </c>
      <c r="B446" s="104">
        <v>0.0</v>
      </c>
      <c r="C446" s="110" t="s">
        <v>1255</v>
      </c>
      <c r="D446" s="110" t="s">
        <v>217</v>
      </c>
      <c r="E446" s="104">
        <v>0.0</v>
      </c>
      <c r="F446" s="104">
        <v>211.2</v>
      </c>
      <c r="G446" s="110" t="s">
        <v>1256</v>
      </c>
      <c r="H446" s="112">
        <v>45966.0</v>
      </c>
      <c r="I446" s="110" t="s">
        <v>1257</v>
      </c>
      <c r="J446" s="104">
        <v>0.0</v>
      </c>
      <c r="K446" s="110" t="s">
        <v>1258</v>
      </c>
      <c r="L446" s="110" t="s">
        <v>1259</v>
      </c>
    </row>
    <row r="447">
      <c r="A447" s="110" t="s">
        <v>1016</v>
      </c>
      <c r="B447" s="104">
        <v>0.0</v>
      </c>
      <c r="C447" s="110" t="s">
        <v>1255</v>
      </c>
      <c r="D447" s="110" t="s">
        <v>217</v>
      </c>
      <c r="E447" s="104">
        <v>0.0</v>
      </c>
      <c r="F447" s="104">
        <v>201.6</v>
      </c>
      <c r="G447" s="110" t="s">
        <v>1260</v>
      </c>
      <c r="H447" s="112">
        <v>45966.0</v>
      </c>
      <c r="I447" s="110" t="s">
        <v>1257</v>
      </c>
      <c r="J447" s="104">
        <v>0.0</v>
      </c>
      <c r="K447" s="110" t="s">
        <v>1258</v>
      </c>
      <c r="L447" s="110" t="s">
        <v>1261</v>
      </c>
    </row>
    <row r="448">
      <c r="A448" s="110" t="s">
        <v>1016</v>
      </c>
      <c r="B448" s="104">
        <v>0.0</v>
      </c>
      <c r="C448" s="110" t="s">
        <v>1255</v>
      </c>
      <c r="D448" s="110" t="s">
        <v>217</v>
      </c>
      <c r="E448" s="104">
        <v>0.0</v>
      </c>
      <c r="F448" s="104">
        <v>192.0</v>
      </c>
      <c r="G448" s="110" t="s">
        <v>1262</v>
      </c>
      <c r="H448" s="112">
        <v>45966.0</v>
      </c>
      <c r="I448" s="110" t="s">
        <v>1257</v>
      </c>
      <c r="J448" s="104">
        <v>0.0</v>
      </c>
      <c r="K448" s="110" t="s">
        <v>1258</v>
      </c>
      <c r="L448" s="110" t="s">
        <v>1263</v>
      </c>
    </row>
    <row r="449">
      <c r="A449" s="110" t="s">
        <v>1018</v>
      </c>
      <c r="B449" s="104">
        <v>0.0</v>
      </c>
      <c r="C449" s="110" t="s">
        <v>879</v>
      </c>
      <c r="D449" s="110" t="s">
        <v>226</v>
      </c>
      <c r="E449" s="104">
        <v>0.0</v>
      </c>
      <c r="F449" s="110" t="s">
        <v>1264</v>
      </c>
      <c r="G449" s="110" t="s">
        <v>1265</v>
      </c>
      <c r="H449" s="112">
        <v>45967.0</v>
      </c>
      <c r="I449" s="110" t="s">
        <v>1266</v>
      </c>
      <c r="J449" s="104">
        <v>0.0</v>
      </c>
      <c r="K449" s="110" t="s">
        <v>1267</v>
      </c>
      <c r="L449" s="110" t="s">
        <v>1268</v>
      </c>
    </row>
    <row r="450">
      <c r="A450" s="110" t="s">
        <v>1019</v>
      </c>
      <c r="B450" s="104">
        <v>0.0</v>
      </c>
      <c r="C450" s="110" t="s">
        <v>337</v>
      </c>
      <c r="D450" s="110" t="s">
        <v>217</v>
      </c>
      <c r="E450" s="104">
        <v>0.0</v>
      </c>
      <c r="F450" s="104">
        <v>2000.0</v>
      </c>
      <c r="G450" s="110" t="s">
        <v>302</v>
      </c>
      <c r="H450" s="112">
        <v>45603.0</v>
      </c>
      <c r="I450" s="104">
        <v>0.0</v>
      </c>
      <c r="J450" s="104">
        <v>0.0</v>
      </c>
      <c r="K450" s="110" t="s">
        <v>1269</v>
      </c>
      <c r="L450" s="110" t="s">
        <v>1270</v>
      </c>
    </row>
    <row r="451">
      <c r="A451" s="110" t="s">
        <v>1021</v>
      </c>
      <c r="B451" s="104">
        <v>0.0</v>
      </c>
      <c r="C451" s="110" t="s">
        <v>1271</v>
      </c>
      <c r="D451" s="110" t="s">
        <v>201</v>
      </c>
      <c r="E451" s="104">
        <v>0.0</v>
      </c>
      <c r="F451" s="104">
        <v>25.91</v>
      </c>
      <c r="G451" s="110" t="s">
        <v>1272</v>
      </c>
      <c r="H451" s="112">
        <v>45967.0</v>
      </c>
      <c r="I451" s="104">
        <v>0.0</v>
      </c>
      <c r="J451" s="104">
        <v>0.0</v>
      </c>
      <c r="K451" s="110" t="s">
        <v>1273</v>
      </c>
      <c r="L451" s="110" t="s">
        <v>1274</v>
      </c>
    </row>
    <row r="452">
      <c r="A452" s="110" t="s">
        <v>1023</v>
      </c>
      <c r="B452" s="104">
        <v>0.0</v>
      </c>
      <c r="C452" s="110" t="s">
        <v>337</v>
      </c>
      <c r="D452" s="110" t="s">
        <v>210</v>
      </c>
      <c r="E452" s="104">
        <v>0.0</v>
      </c>
      <c r="F452" s="104">
        <v>34.0</v>
      </c>
      <c r="G452" s="110" t="s">
        <v>238</v>
      </c>
      <c r="H452" s="112">
        <v>45677.0</v>
      </c>
      <c r="I452" s="104">
        <v>0.0</v>
      </c>
      <c r="J452" s="104">
        <v>0.0</v>
      </c>
      <c r="K452" s="110" t="s">
        <v>1275</v>
      </c>
      <c r="L452" s="110" t="s">
        <v>1276</v>
      </c>
    </row>
    <row r="453">
      <c r="A453" s="110" t="s">
        <v>1025</v>
      </c>
      <c r="B453" s="104">
        <v>0.0</v>
      </c>
      <c r="C453" s="110" t="s">
        <v>348</v>
      </c>
      <c r="D453" s="110" t="s">
        <v>210</v>
      </c>
      <c r="E453" s="104">
        <v>0.0</v>
      </c>
      <c r="F453" s="104">
        <v>88.54</v>
      </c>
      <c r="G453" s="110" t="s">
        <v>206</v>
      </c>
      <c r="H453" s="112">
        <v>45881.0</v>
      </c>
      <c r="I453" s="110" t="s">
        <v>1025</v>
      </c>
      <c r="J453" s="104">
        <v>0.0</v>
      </c>
      <c r="K453" s="110" t="s">
        <v>1277</v>
      </c>
      <c r="L453" s="110" t="s">
        <v>1278</v>
      </c>
    </row>
    <row r="454">
      <c r="A454" s="110" t="s">
        <v>1027</v>
      </c>
      <c r="B454" s="104">
        <v>0.0</v>
      </c>
      <c r="C454" s="110" t="s">
        <v>562</v>
      </c>
      <c r="D454" s="110" t="s">
        <v>210</v>
      </c>
      <c r="E454" s="104">
        <v>0.0</v>
      </c>
      <c r="F454" s="104">
        <v>13.5</v>
      </c>
      <c r="G454" s="110" t="s">
        <v>238</v>
      </c>
      <c r="H454" s="112">
        <v>45859.0</v>
      </c>
      <c r="I454" s="110" t="s">
        <v>1027</v>
      </c>
      <c r="J454" s="104">
        <v>0.0</v>
      </c>
      <c r="K454" s="110" t="s">
        <v>1279</v>
      </c>
      <c r="L454" s="110" t="s">
        <v>1280</v>
      </c>
    </row>
    <row r="455">
      <c r="A455" s="110" t="s">
        <v>1029</v>
      </c>
      <c r="B455" s="104">
        <v>0.0</v>
      </c>
      <c r="C455" s="110" t="s">
        <v>562</v>
      </c>
      <c r="D455" s="110" t="s">
        <v>210</v>
      </c>
      <c r="E455" s="104">
        <v>0.0</v>
      </c>
      <c r="F455" s="104">
        <v>22.0</v>
      </c>
      <c r="G455" s="110" t="s">
        <v>238</v>
      </c>
      <c r="H455" s="112">
        <v>45881.0</v>
      </c>
      <c r="I455" s="110" t="s">
        <v>1029</v>
      </c>
      <c r="J455" s="104">
        <v>0.0</v>
      </c>
      <c r="K455" s="110" t="s">
        <v>1281</v>
      </c>
      <c r="L455" s="110" t="s">
        <v>1282</v>
      </c>
    </row>
    <row r="456">
      <c r="A456" s="110" t="s">
        <v>1031</v>
      </c>
      <c r="B456" s="104">
        <v>0.0</v>
      </c>
      <c r="C456" s="110" t="s">
        <v>562</v>
      </c>
      <c r="D456" s="110" t="s">
        <v>210</v>
      </c>
      <c r="E456" s="104">
        <v>0.0</v>
      </c>
      <c r="F456" s="104">
        <v>11.6</v>
      </c>
      <c r="G456" s="110" t="s">
        <v>238</v>
      </c>
      <c r="H456" s="112">
        <v>45859.0</v>
      </c>
      <c r="I456" s="104">
        <v>0.0</v>
      </c>
      <c r="J456" s="104">
        <v>0.0</v>
      </c>
      <c r="K456" s="110" t="s">
        <v>1283</v>
      </c>
      <c r="L456" s="110" t="s">
        <v>1284</v>
      </c>
    </row>
    <row r="457">
      <c r="A457" s="110" t="s">
        <v>1034</v>
      </c>
      <c r="B457" s="104">
        <v>0.0</v>
      </c>
      <c r="C457" s="110" t="s">
        <v>551</v>
      </c>
      <c r="D457" s="110" t="s">
        <v>544</v>
      </c>
      <c r="E457" s="104">
        <v>0.0</v>
      </c>
      <c r="F457" s="104">
        <v>55.55</v>
      </c>
      <c r="G457" s="110" t="s">
        <v>206</v>
      </c>
      <c r="H457" s="112">
        <v>45910.0</v>
      </c>
      <c r="I457" s="110" t="s">
        <v>1034</v>
      </c>
      <c r="J457" s="104">
        <v>0.0</v>
      </c>
      <c r="K457" s="110" t="s">
        <v>1285</v>
      </c>
      <c r="L457" s="110" t="s">
        <v>1286</v>
      </c>
    </row>
    <row r="458">
      <c r="A458" s="110" t="s">
        <v>1038</v>
      </c>
      <c r="B458" s="104">
        <v>0.0</v>
      </c>
      <c r="C458" s="110" t="s">
        <v>618</v>
      </c>
      <c r="D458" s="110" t="s">
        <v>210</v>
      </c>
      <c r="E458" s="104">
        <v>0.0</v>
      </c>
      <c r="F458" s="104">
        <v>17.0</v>
      </c>
      <c r="G458" s="110" t="s">
        <v>1287</v>
      </c>
      <c r="H458" s="112">
        <v>45891.0</v>
      </c>
      <c r="I458" s="110" t="s">
        <v>1038</v>
      </c>
      <c r="J458" s="104">
        <v>0.0</v>
      </c>
      <c r="K458" s="110" t="s">
        <v>1288</v>
      </c>
      <c r="L458" s="110" t="s">
        <v>1289</v>
      </c>
    </row>
    <row r="459">
      <c r="A459" s="110" t="s">
        <v>1038</v>
      </c>
      <c r="B459" s="104">
        <v>0.0</v>
      </c>
      <c r="C459" s="110" t="s">
        <v>618</v>
      </c>
      <c r="D459" s="110" t="s">
        <v>210</v>
      </c>
      <c r="E459" s="104">
        <v>0.0</v>
      </c>
      <c r="F459" s="104">
        <v>16.2</v>
      </c>
      <c r="G459" s="110" t="s">
        <v>1290</v>
      </c>
      <c r="H459" s="112">
        <v>45891.0</v>
      </c>
      <c r="I459" s="110" t="s">
        <v>1038</v>
      </c>
      <c r="J459" s="104">
        <v>0.0</v>
      </c>
      <c r="K459" s="110" t="s">
        <v>1288</v>
      </c>
      <c r="L459" s="110" t="s">
        <v>1291</v>
      </c>
    </row>
    <row r="460">
      <c r="A460" s="110" t="s">
        <v>1038</v>
      </c>
      <c r="B460" s="104">
        <v>0.0</v>
      </c>
      <c r="C460" s="110" t="s">
        <v>317</v>
      </c>
      <c r="D460" s="110" t="s">
        <v>210</v>
      </c>
      <c r="E460" s="104">
        <v>0.0</v>
      </c>
      <c r="F460" s="104">
        <v>15.6</v>
      </c>
      <c r="G460" s="110" t="s">
        <v>1292</v>
      </c>
      <c r="H460" s="112">
        <v>45891.0</v>
      </c>
      <c r="I460" s="110" t="s">
        <v>1038</v>
      </c>
      <c r="J460" s="104">
        <v>0.0</v>
      </c>
      <c r="K460" s="110" t="s">
        <v>1293</v>
      </c>
      <c r="L460" s="110" t="s">
        <v>1294</v>
      </c>
    </row>
    <row r="461">
      <c r="A461" s="110" t="s">
        <v>1038</v>
      </c>
      <c r="B461" s="104">
        <v>0.0</v>
      </c>
      <c r="C461" s="110" t="s">
        <v>337</v>
      </c>
      <c r="D461" s="110" t="s">
        <v>210</v>
      </c>
      <c r="E461" s="104">
        <v>0.0</v>
      </c>
      <c r="F461" s="104">
        <v>15.3</v>
      </c>
      <c r="G461" s="110" t="s">
        <v>1295</v>
      </c>
      <c r="H461" s="112">
        <v>45891.0</v>
      </c>
      <c r="I461" s="110" t="s">
        <v>1038</v>
      </c>
      <c r="J461" s="104">
        <v>0.0</v>
      </c>
      <c r="K461" s="110" t="s">
        <v>1296</v>
      </c>
      <c r="L461" s="110" t="s">
        <v>1297</v>
      </c>
    </row>
    <row r="462">
      <c r="A462" s="110" t="s">
        <v>1041</v>
      </c>
      <c r="B462" s="104">
        <v>0.0</v>
      </c>
      <c r="C462" s="110" t="s">
        <v>386</v>
      </c>
      <c r="D462" s="110" t="s">
        <v>210</v>
      </c>
      <c r="E462" s="104">
        <v>0.0</v>
      </c>
      <c r="F462" s="104">
        <v>32.5</v>
      </c>
      <c r="G462" s="110" t="s">
        <v>238</v>
      </c>
      <c r="H462" s="112">
        <v>45679.0</v>
      </c>
      <c r="I462" s="104">
        <v>0.0</v>
      </c>
      <c r="J462" s="104">
        <v>0.0</v>
      </c>
      <c r="K462" s="110" t="s">
        <v>1298</v>
      </c>
      <c r="L462" s="110" t="s">
        <v>1299</v>
      </c>
    </row>
    <row r="463">
      <c r="A463" s="110" t="s">
        <v>1044</v>
      </c>
      <c r="B463" s="104">
        <v>0.0</v>
      </c>
      <c r="C463" s="110" t="s">
        <v>331</v>
      </c>
      <c r="D463" s="110" t="s">
        <v>210</v>
      </c>
      <c r="E463" s="104">
        <v>0.0</v>
      </c>
      <c r="F463" s="104">
        <v>32.0</v>
      </c>
      <c r="G463" s="110" t="s">
        <v>218</v>
      </c>
      <c r="H463" s="112">
        <v>45985.0</v>
      </c>
      <c r="I463" s="110" t="s">
        <v>1044</v>
      </c>
      <c r="J463" s="104">
        <v>0.0</v>
      </c>
      <c r="K463" s="110" t="s">
        <v>1300</v>
      </c>
      <c r="L463" s="110" t="s">
        <v>1301</v>
      </c>
    </row>
    <row r="464">
      <c r="A464" s="110" t="s">
        <v>1046</v>
      </c>
      <c r="B464" s="104">
        <v>0.0</v>
      </c>
      <c r="C464" s="110" t="s">
        <v>1302</v>
      </c>
      <c r="D464" s="110" t="s">
        <v>201</v>
      </c>
      <c r="E464" s="104">
        <v>0.0</v>
      </c>
      <c r="F464" s="104">
        <v>16.9</v>
      </c>
      <c r="G464" s="110" t="s">
        <v>238</v>
      </c>
      <c r="H464" s="112">
        <v>45894.0</v>
      </c>
      <c r="I464" s="110" t="s">
        <v>1046</v>
      </c>
      <c r="J464" s="104">
        <v>0.0</v>
      </c>
      <c r="K464" s="110" t="s">
        <v>1303</v>
      </c>
      <c r="L464" s="110" t="s">
        <v>1304</v>
      </c>
    </row>
    <row r="465">
      <c r="A465" s="110" t="s">
        <v>1048</v>
      </c>
      <c r="B465" s="104">
        <v>0.0</v>
      </c>
      <c r="C465" s="110" t="s">
        <v>1305</v>
      </c>
      <c r="D465" s="110" t="s">
        <v>201</v>
      </c>
      <c r="E465" s="104">
        <v>0.0</v>
      </c>
      <c r="F465" s="104">
        <v>32.5</v>
      </c>
      <c r="G465" s="110" t="s">
        <v>238</v>
      </c>
      <c r="H465" s="112">
        <v>45889.0</v>
      </c>
      <c r="I465" s="110" t="s">
        <v>1306</v>
      </c>
      <c r="J465" s="104">
        <v>0.0</v>
      </c>
      <c r="K465" s="110" t="s">
        <v>1307</v>
      </c>
      <c r="L465" s="110" t="s">
        <v>1308</v>
      </c>
    </row>
    <row r="466">
      <c r="A466" s="110" t="s">
        <v>1050</v>
      </c>
      <c r="B466" s="104">
        <v>0.0</v>
      </c>
      <c r="C466" s="110" t="s">
        <v>331</v>
      </c>
      <c r="D466" s="110" t="s">
        <v>210</v>
      </c>
      <c r="E466" s="104">
        <v>0.0</v>
      </c>
      <c r="F466" s="104">
        <v>47.0</v>
      </c>
      <c r="G466" s="110" t="s">
        <v>457</v>
      </c>
      <c r="H466" s="112">
        <v>45881.0</v>
      </c>
      <c r="I466" s="110" t="s">
        <v>1050</v>
      </c>
      <c r="J466" s="104">
        <v>0.0</v>
      </c>
      <c r="K466" s="110" t="s">
        <v>1309</v>
      </c>
      <c r="L466" s="110" t="s">
        <v>1310</v>
      </c>
    </row>
    <row r="467">
      <c r="A467" s="110" t="s">
        <v>1052</v>
      </c>
      <c r="B467" s="104">
        <v>0.0</v>
      </c>
      <c r="C467" s="110" t="s">
        <v>331</v>
      </c>
      <c r="D467" s="110" t="s">
        <v>210</v>
      </c>
      <c r="E467" s="104">
        <v>0.0</v>
      </c>
      <c r="F467" s="104">
        <v>19.0</v>
      </c>
      <c r="G467" s="110" t="s">
        <v>218</v>
      </c>
      <c r="H467" s="112">
        <v>45985.0</v>
      </c>
      <c r="I467" s="110" t="s">
        <v>1311</v>
      </c>
      <c r="J467" s="104">
        <v>0.0</v>
      </c>
      <c r="K467" s="110" t="s">
        <v>1312</v>
      </c>
      <c r="L467" s="110" t="s">
        <v>1313</v>
      </c>
    </row>
    <row r="468">
      <c r="A468" s="110" t="s">
        <v>1055</v>
      </c>
      <c r="B468" s="104">
        <v>0.0</v>
      </c>
      <c r="C468" s="110" t="s">
        <v>337</v>
      </c>
      <c r="D468" s="110" t="s">
        <v>210</v>
      </c>
      <c r="E468" s="104">
        <v>0.0</v>
      </c>
      <c r="F468" s="104">
        <v>18.5</v>
      </c>
      <c r="G468" s="110" t="s">
        <v>238</v>
      </c>
      <c r="H468" s="112">
        <v>45889.0</v>
      </c>
      <c r="I468" s="110" t="s">
        <v>1314</v>
      </c>
      <c r="J468" s="104">
        <v>0.0</v>
      </c>
      <c r="K468" s="110" t="s">
        <v>1315</v>
      </c>
      <c r="L468" s="110" t="s">
        <v>1316</v>
      </c>
    </row>
    <row r="469">
      <c r="A469" s="110" t="s">
        <v>1058</v>
      </c>
      <c r="B469" s="104">
        <v>0.0</v>
      </c>
      <c r="C469" s="110" t="s">
        <v>331</v>
      </c>
      <c r="D469" s="110" t="s">
        <v>210</v>
      </c>
      <c r="E469" s="104">
        <v>0.0</v>
      </c>
      <c r="F469" s="104">
        <v>30.0</v>
      </c>
      <c r="G469" s="110" t="s">
        <v>218</v>
      </c>
      <c r="H469" s="112">
        <v>45953.0</v>
      </c>
      <c r="I469" s="104">
        <v>0.0</v>
      </c>
      <c r="J469" s="104">
        <v>0.0</v>
      </c>
      <c r="K469" s="110" t="s">
        <v>1317</v>
      </c>
      <c r="L469" s="110" t="s">
        <v>1318</v>
      </c>
    </row>
    <row r="470">
      <c r="A470" s="110" t="s">
        <v>1060</v>
      </c>
      <c r="B470" s="104">
        <v>0.0</v>
      </c>
      <c r="C470" s="110" t="s">
        <v>562</v>
      </c>
      <c r="D470" s="110" t="s">
        <v>210</v>
      </c>
      <c r="E470" s="104">
        <v>0.0</v>
      </c>
      <c r="F470" s="104">
        <v>12.5</v>
      </c>
      <c r="G470" s="110" t="s">
        <v>238</v>
      </c>
      <c r="H470" s="112">
        <v>45881.0</v>
      </c>
      <c r="I470" s="110" t="s">
        <v>1060</v>
      </c>
      <c r="J470" s="104">
        <v>0.0</v>
      </c>
      <c r="K470" s="110" t="s">
        <v>1319</v>
      </c>
      <c r="L470" s="110" t="s">
        <v>1320</v>
      </c>
    </row>
    <row r="471">
      <c r="A471" s="110" t="s">
        <v>1062</v>
      </c>
      <c r="B471" s="104">
        <v>0.0</v>
      </c>
      <c r="C471" s="110" t="s">
        <v>337</v>
      </c>
      <c r="D471" s="110" t="s">
        <v>210</v>
      </c>
      <c r="E471" s="104">
        <v>0.0</v>
      </c>
      <c r="F471" s="104">
        <v>13.5</v>
      </c>
      <c r="G471" s="110" t="s">
        <v>238</v>
      </c>
      <c r="H471" s="112">
        <v>45575.0</v>
      </c>
      <c r="I471" s="104">
        <v>0.0</v>
      </c>
      <c r="J471" s="104">
        <v>0.0</v>
      </c>
      <c r="K471" s="110" t="s">
        <v>1321</v>
      </c>
      <c r="L471" s="110" t="s">
        <v>1322</v>
      </c>
    </row>
    <row r="472">
      <c r="A472" s="110" t="s">
        <v>1062</v>
      </c>
      <c r="B472" s="104">
        <v>0.0</v>
      </c>
      <c r="C472" s="110" t="s">
        <v>386</v>
      </c>
      <c r="D472" s="110" t="s">
        <v>210</v>
      </c>
      <c r="E472" s="104">
        <v>0.0</v>
      </c>
      <c r="F472" s="104">
        <v>8.5</v>
      </c>
      <c r="G472" s="110" t="s">
        <v>238</v>
      </c>
      <c r="H472" s="112">
        <v>45575.0</v>
      </c>
      <c r="I472" s="104">
        <v>0.0</v>
      </c>
      <c r="J472" s="104">
        <v>0.0</v>
      </c>
      <c r="K472" s="110" t="s">
        <v>1323</v>
      </c>
      <c r="L472" s="110" t="s">
        <v>1324</v>
      </c>
    </row>
    <row r="473">
      <c r="A473" s="110" t="s">
        <v>1064</v>
      </c>
      <c r="B473" s="104">
        <v>0.0</v>
      </c>
      <c r="C473" s="110" t="s">
        <v>562</v>
      </c>
      <c r="D473" s="110" t="s">
        <v>210</v>
      </c>
      <c r="E473" s="104">
        <v>0.0</v>
      </c>
      <c r="F473" s="104">
        <v>8.9</v>
      </c>
      <c r="G473" s="110" t="s">
        <v>238</v>
      </c>
      <c r="H473" s="112">
        <v>45859.0</v>
      </c>
      <c r="I473" s="110" t="s">
        <v>1064</v>
      </c>
      <c r="J473" s="104">
        <v>0.0</v>
      </c>
      <c r="K473" s="110" t="s">
        <v>1325</v>
      </c>
      <c r="L473" s="110" t="s">
        <v>1326</v>
      </c>
    </row>
    <row r="474">
      <c r="A474" s="110" t="s">
        <v>1066</v>
      </c>
      <c r="B474" s="104">
        <v>0.0</v>
      </c>
      <c r="C474" s="110" t="s">
        <v>337</v>
      </c>
      <c r="D474" s="110" t="s">
        <v>210</v>
      </c>
      <c r="E474" s="104">
        <v>0.0</v>
      </c>
      <c r="F474" s="104">
        <v>95.0</v>
      </c>
      <c r="G474" s="110" t="s">
        <v>238</v>
      </c>
      <c r="H474" s="112">
        <v>45603.0</v>
      </c>
      <c r="I474" s="104">
        <v>0.0</v>
      </c>
      <c r="J474" s="104">
        <v>0.0</v>
      </c>
      <c r="K474" s="110" t="s">
        <v>1327</v>
      </c>
      <c r="L474" s="110" t="s">
        <v>1328</v>
      </c>
    </row>
    <row r="475">
      <c r="A475" s="110" t="s">
        <v>1066</v>
      </c>
      <c r="B475" s="104">
        <v>0.0</v>
      </c>
      <c r="C475" s="110" t="s">
        <v>386</v>
      </c>
      <c r="D475" s="110" t="s">
        <v>210</v>
      </c>
      <c r="E475" s="104">
        <v>0.0</v>
      </c>
      <c r="F475" s="104">
        <v>78.0</v>
      </c>
      <c r="G475" s="104">
        <v>0.0</v>
      </c>
      <c r="H475" s="112">
        <v>45603.0</v>
      </c>
      <c r="I475" s="104">
        <v>0.0</v>
      </c>
      <c r="J475" s="104">
        <v>0.0</v>
      </c>
      <c r="K475" s="110" t="s">
        <v>1329</v>
      </c>
      <c r="L475" s="110" t="s">
        <v>1330</v>
      </c>
    </row>
    <row r="476">
      <c r="A476" s="110" t="s">
        <v>1069</v>
      </c>
      <c r="B476" s="104">
        <v>0.0</v>
      </c>
      <c r="C476" s="110" t="s">
        <v>209</v>
      </c>
      <c r="D476" s="110" t="s">
        <v>217</v>
      </c>
      <c r="E476" s="104">
        <v>0.0</v>
      </c>
      <c r="F476" s="104">
        <v>0.0</v>
      </c>
      <c r="G476" s="104">
        <v>0.0</v>
      </c>
      <c r="H476" s="104" t="s">
        <v>232</v>
      </c>
      <c r="I476" s="104">
        <v>0.0</v>
      </c>
      <c r="J476" s="104">
        <v>0.0</v>
      </c>
      <c r="K476" s="110" t="s">
        <v>1331</v>
      </c>
      <c r="L476" s="110" t="s">
        <v>1332</v>
      </c>
    </row>
    <row r="477">
      <c r="A477" s="110" t="s">
        <v>1071</v>
      </c>
      <c r="B477" s="104">
        <v>0.0</v>
      </c>
      <c r="C477" s="110" t="s">
        <v>337</v>
      </c>
      <c r="D477" s="110" t="s">
        <v>217</v>
      </c>
      <c r="E477" s="104">
        <v>0.0</v>
      </c>
      <c r="F477" s="104">
        <v>17.5</v>
      </c>
      <c r="G477" s="110" t="s">
        <v>238</v>
      </c>
      <c r="H477" s="112">
        <v>45603.0</v>
      </c>
      <c r="I477" s="104">
        <v>0.0</v>
      </c>
      <c r="J477" s="104">
        <v>0.0</v>
      </c>
      <c r="K477" s="110" t="s">
        <v>1333</v>
      </c>
      <c r="L477" s="110" t="s">
        <v>1334</v>
      </c>
    </row>
    <row r="478">
      <c r="A478" s="110" t="s">
        <v>1071</v>
      </c>
      <c r="B478" s="104">
        <v>0.0</v>
      </c>
      <c r="C478" s="110" t="s">
        <v>200</v>
      </c>
      <c r="D478" s="110" t="s">
        <v>217</v>
      </c>
      <c r="E478" s="104">
        <v>0.0</v>
      </c>
      <c r="F478" s="104">
        <v>10.0</v>
      </c>
      <c r="G478" s="110" t="s">
        <v>334</v>
      </c>
      <c r="H478" s="112">
        <v>45667.0</v>
      </c>
      <c r="I478" s="104">
        <v>0.0</v>
      </c>
      <c r="J478" s="104">
        <v>0.0</v>
      </c>
      <c r="K478" s="110" t="s">
        <v>1335</v>
      </c>
      <c r="L478" s="110" t="s">
        <v>1336</v>
      </c>
    </row>
    <row r="479">
      <c r="A479" s="110" t="s">
        <v>1073</v>
      </c>
      <c r="B479" s="104">
        <v>0.0</v>
      </c>
      <c r="C479" s="110" t="s">
        <v>317</v>
      </c>
      <c r="D479" s="110" t="s">
        <v>217</v>
      </c>
      <c r="E479" s="104">
        <v>0.0</v>
      </c>
      <c r="F479" s="104">
        <v>90.0</v>
      </c>
      <c r="G479" s="104">
        <v>0.0</v>
      </c>
      <c r="H479" s="112">
        <v>45874.0</v>
      </c>
      <c r="I479" s="104">
        <v>0.0</v>
      </c>
      <c r="J479" s="104">
        <v>0.0</v>
      </c>
      <c r="K479" s="110" t="s">
        <v>1337</v>
      </c>
      <c r="L479" s="110" t="s">
        <v>1338</v>
      </c>
    </row>
    <row r="480">
      <c r="A480" s="110" t="s">
        <v>1075</v>
      </c>
      <c r="B480" s="104">
        <v>0.0</v>
      </c>
      <c r="C480" s="110" t="s">
        <v>1339</v>
      </c>
      <c r="D480" s="110" t="s">
        <v>205</v>
      </c>
      <c r="E480" s="104">
        <v>0.0</v>
      </c>
      <c r="F480" s="104">
        <v>2.09</v>
      </c>
      <c r="G480" s="110" t="s">
        <v>268</v>
      </c>
      <c r="H480" s="112">
        <v>45979.0</v>
      </c>
      <c r="I480" s="110" t="s">
        <v>1075</v>
      </c>
      <c r="J480" s="104">
        <v>0.0</v>
      </c>
      <c r="K480" s="110" t="s">
        <v>1340</v>
      </c>
      <c r="L480" s="110" t="s">
        <v>1341</v>
      </c>
    </row>
    <row r="481">
      <c r="A481" s="110" t="s">
        <v>1077</v>
      </c>
      <c r="B481" s="104">
        <v>0.0</v>
      </c>
      <c r="C481" s="110" t="s">
        <v>209</v>
      </c>
      <c r="D481" s="110" t="s">
        <v>217</v>
      </c>
      <c r="E481" s="104">
        <v>0.0</v>
      </c>
      <c r="F481" s="104">
        <v>0.0</v>
      </c>
      <c r="G481" s="104">
        <v>0.0</v>
      </c>
      <c r="H481" s="104" t="s">
        <v>232</v>
      </c>
      <c r="I481" s="104">
        <v>0.0</v>
      </c>
      <c r="J481" s="104">
        <v>0.0</v>
      </c>
      <c r="K481" s="110" t="s">
        <v>1342</v>
      </c>
      <c r="L481" s="110" t="s">
        <v>1343</v>
      </c>
    </row>
    <row r="482">
      <c r="A482" s="110" t="s">
        <v>1079</v>
      </c>
      <c r="B482" s="104">
        <v>0.0</v>
      </c>
      <c r="C482" s="110" t="s">
        <v>337</v>
      </c>
      <c r="D482" s="110" t="s">
        <v>217</v>
      </c>
      <c r="E482" s="104">
        <v>0.0</v>
      </c>
      <c r="F482" s="104">
        <v>15.0</v>
      </c>
      <c r="G482" s="110" t="s">
        <v>238</v>
      </c>
      <c r="H482" s="112">
        <v>45603.0</v>
      </c>
      <c r="I482" s="104">
        <v>0.0</v>
      </c>
      <c r="J482" s="104">
        <v>0.0</v>
      </c>
      <c r="K482" s="110" t="s">
        <v>1344</v>
      </c>
      <c r="L482" s="110" t="s">
        <v>1345</v>
      </c>
    </row>
    <row r="483">
      <c r="A483" s="110" t="s">
        <v>1079</v>
      </c>
      <c r="B483" s="104">
        <v>0.0</v>
      </c>
      <c r="C483" s="110" t="s">
        <v>209</v>
      </c>
      <c r="D483" s="110" t="s">
        <v>217</v>
      </c>
      <c r="E483" s="104">
        <v>0.0</v>
      </c>
      <c r="F483" s="104">
        <v>27.5</v>
      </c>
      <c r="G483" s="104">
        <v>0.0</v>
      </c>
      <c r="H483" s="112">
        <v>44734.0</v>
      </c>
      <c r="I483" s="104">
        <v>0.0</v>
      </c>
      <c r="J483" s="104">
        <v>0.0</v>
      </c>
      <c r="K483" s="110" t="s">
        <v>1346</v>
      </c>
      <c r="L483" s="110" t="s">
        <v>1347</v>
      </c>
    </row>
    <row r="484">
      <c r="A484" s="110" t="s">
        <v>1081</v>
      </c>
      <c r="B484" s="104">
        <v>0.0</v>
      </c>
      <c r="C484" s="110" t="s">
        <v>209</v>
      </c>
      <c r="D484" s="110" t="s">
        <v>217</v>
      </c>
      <c r="E484" s="104">
        <v>0.0</v>
      </c>
      <c r="F484" s="104">
        <v>10.0</v>
      </c>
      <c r="G484" s="110" t="s">
        <v>1199</v>
      </c>
      <c r="H484" s="112">
        <v>45929.0</v>
      </c>
      <c r="I484" s="110" t="s">
        <v>1079</v>
      </c>
      <c r="J484" s="104">
        <v>0.0</v>
      </c>
      <c r="K484" s="110" t="s">
        <v>1348</v>
      </c>
      <c r="L484" s="110" t="s">
        <v>1349</v>
      </c>
    </row>
    <row r="485">
      <c r="A485" s="110" t="s">
        <v>1083</v>
      </c>
      <c r="B485" s="104">
        <v>0.0</v>
      </c>
      <c r="C485" s="110" t="s">
        <v>273</v>
      </c>
      <c r="D485" s="110" t="s">
        <v>217</v>
      </c>
      <c r="E485" s="104">
        <v>0.0</v>
      </c>
      <c r="F485" s="104">
        <v>5.79</v>
      </c>
      <c r="G485" s="104">
        <v>25.0</v>
      </c>
      <c r="H485" s="112">
        <v>45811.0</v>
      </c>
      <c r="I485" s="110" t="s">
        <v>1350</v>
      </c>
      <c r="J485" s="104">
        <v>0.0</v>
      </c>
      <c r="K485" s="110" t="s">
        <v>1351</v>
      </c>
      <c r="L485" s="110" t="s">
        <v>1352</v>
      </c>
    </row>
    <row r="486">
      <c r="A486" s="110" t="s">
        <v>1085</v>
      </c>
      <c r="B486" s="104">
        <v>0.0</v>
      </c>
      <c r="C486" s="110" t="s">
        <v>221</v>
      </c>
      <c r="D486" s="110" t="s">
        <v>226</v>
      </c>
      <c r="E486" s="104">
        <v>0.0</v>
      </c>
      <c r="F486" s="104">
        <v>1.58</v>
      </c>
      <c r="G486" s="110" t="s">
        <v>625</v>
      </c>
      <c r="H486" s="112">
        <v>45849.0</v>
      </c>
      <c r="I486" s="110" t="s">
        <v>1085</v>
      </c>
      <c r="J486" s="104">
        <v>0.0</v>
      </c>
      <c r="K486" s="110" t="s">
        <v>1353</v>
      </c>
      <c r="L486" s="110" t="s">
        <v>1354</v>
      </c>
    </row>
    <row r="487">
      <c r="A487" s="110" t="s">
        <v>1090</v>
      </c>
      <c r="B487" s="104">
        <v>0.0</v>
      </c>
      <c r="C487" s="110" t="s">
        <v>1219</v>
      </c>
      <c r="D487" s="110" t="s">
        <v>226</v>
      </c>
      <c r="E487" s="104">
        <v>0.0</v>
      </c>
      <c r="F487" s="104">
        <v>3.88</v>
      </c>
      <c r="G487" s="110" t="s">
        <v>1355</v>
      </c>
      <c r="H487" s="112">
        <v>45863.0</v>
      </c>
      <c r="I487" s="110" t="s">
        <v>1090</v>
      </c>
      <c r="J487" s="104">
        <v>0.0</v>
      </c>
      <c r="K487" s="110" t="s">
        <v>1356</v>
      </c>
      <c r="L487" s="110" t="s">
        <v>1357</v>
      </c>
    </row>
    <row r="488">
      <c r="A488" s="110" t="s">
        <v>1092</v>
      </c>
      <c r="B488" s="104">
        <v>0.0</v>
      </c>
      <c r="C488" s="110" t="s">
        <v>551</v>
      </c>
      <c r="D488" s="110" t="s">
        <v>552</v>
      </c>
      <c r="E488" s="104">
        <v>0.0</v>
      </c>
      <c r="F488" s="104">
        <v>42.12</v>
      </c>
      <c r="G488" s="110" t="s">
        <v>238</v>
      </c>
      <c r="H488" s="112">
        <v>45713.0</v>
      </c>
      <c r="I488" s="104">
        <v>0.0</v>
      </c>
      <c r="J488" s="104">
        <v>0.0</v>
      </c>
      <c r="K488" s="110" t="s">
        <v>1358</v>
      </c>
      <c r="L488" s="110" t="s">
        <v>1359</v>
      </c>
    </row>
    <row r="489">
      <c r="A489" s="110" t="s">
        <v>1096</v>
      </c>
      <c r="B489" s="104">
        <v>0.0</v>
      </c>
      <c r="C489" s="110" t="s">
        <v>551</v>
      </c>
      <c r="D489" s="110" t="s">
        <v>552</v>
      </c>
      <c r="E489" s="104">
        <v>0.0</v>
      </c>
      <c r="F489" s="104">
        <v>48.74</v>
      </c>
      <c r="G489" s="110" t="s">
        <v>238</v>
      </c>
      <c r="H489" s="112">
        <v>45720.0</v>
      </c>
      <c r="I489" s="104">
        <v>0.0</v>
      </c>
      <c r="J489" s="104">
        <v>0.0</v>
      </c>
      <c r="K489" s="110" t="s">
        <v>1360</v>
      </c>
      <c r="L489" s="110" t="s">
        <v>1361</v>
      </c>
    </row>
    <row r="490">
      <c r="A490" s="110" t="s">
        <v>1098</v>
      </c>
      <c r="B490" s="110" t="s">
        <v>1362</v>
      </c>
      <c r="C490" s="110" t="s">
        <v>325</v>
      </c>
      <c r="D490" s="110" t="s">
        <v>210</v>
      </c>
      <c r="E490" s="104">
        <v>0.0</v>
      </c>
      <c r="F490" s="104">
        <v>33.78</v>
      </c>
      <c r="G490" s="110" t="s">
        <v>238</v>
      </c>
      <c r="H490" s="112">
        <v>45784.0</v>
      </c>
      <c r="I490" s="104">
        <v>0.0</v>
      </c>
      <c r="J490" s="104">
        <v>0.0</v>
      </c>
      <c r="K490" s="110" t="s">
        <v>1363</v>
      </c>
      <c r="L490" s="110" t="s">
        <v>1364</v>
      </c>
    </row>
    <row r="491">
      <c r="A491" s="110" t="s">
        <v>1100</v>
      </c>
      <c r="B491" s="104">
        <v>0.0</v>
      </c>
      <c r="C491" s="110" t="s">
        <v>247</v>
      </c>
      <c r="D491" s="110" t="s">
        <v>210</v>
      </c>
      <c r="E491" s="104">
        <v>0.0</v>
      </c>
      <c r="F491" s="104">
        <v>0.0</v>
      </c>
      <c r="G491" s="104">
        <v>0.0</v>
      </c>
      <c r="H491" s="104" t="s">
        <v>232</v>
      </c>
      <c r="I491" s="104">
        <v>0.0</v>
      </c>
      <c r="J491" s="104">
        <v>0.0</v>
      </c>
      <c r="K491" s="110" t="s">
        <v>1365</v>
      </c>
      <c r="L491" s="110" t="s">
        <v>1366</v>
      </c>
    </row>
    <row r="492">
      <c r="A492" s="110" t="s">
        <v>1100</v>
      </c>
      <c r="B492" s="104">
        <v>0.0</v>
      </c>
      <c r="C492" s="110" t="s">
        <v>247</v>
      </c>
      <c r="D492" s="110" t="s">
        <v>210</v>
      </c>
      <c r="E492" s="104">
        <v>0.0</v>
      </c>
      <c r="F492" s="104">
        <v>0.0</v>
      </c>
      <c r="G492" s="104">
        <v>0.0</v>
      </c>
      <c r="H492" s="104" t="s">
        <v>232</v>
      </c>
      <c r="I492" s="104">
        <v>0.0</v>
      </c>
      <c r="J492" s="104">
        <v>0.0</v>
      </c>
      <c r="K492" s="110" t="s">
        <v>1365</v>
      </c>
      <c r="L492" s="110" t="s">
        <v>1367</v>
      </c>
    </row>
    <row r="493">
      <c r="A493" s="110" t="s">
        <v>1102</v>
      </c>
      <c r="B493" s="104">
        <v>0.0</v>
      </c>
      <c r="C493" s="110" t="s">
        <v>386</v>
      </c>
      <c r="D493" s="110" t="s">
        <v>210</v>
      </c>
      <c r="E493" s="104">
        <v>0.0</v>
      </c>
      <c r="F493" s="104">
        <v>42.0</v>
      </c>
      <c r="G493" s="110" t="s">
        <v>238</v>
      </c>
      <c r="H493" s="112">
        <v>45603.0</v>
      </c>
      <c r="I493" s="104">
        <v>0.0</v>
      </c>
      <c r="J493" s="104">
        <v>0.0</v>
      </c>
      <c r="K493" s="110" t="s">
        <v>1368</v>
      </c>
      <c r="L493" s="110" t="s">
        <v>1369</v>
      </c>
    </row>
    <row r="494">
      <c r="A494" s="110" t="s">
        <v>1104</v>
      </c>
      <c r="B494" s="104">
        <v>0.0</v>
      </c>
      <c r="C494" s="110" t="s">
        <v>337</v>
      </c>
      <c r="D494" s="110" t="s">
        <v>210</v>
      </c>
      <c r="E494" s="104">
        <v>0.0</v>
      </c>
      <c r="F494" s="104">
        <v>29.0</v>
      </c>
      <c r="G494" s="110" t="s">
        <v>238</v>
      </c>
      <c r="H494" s="112">
        <v>45603.0</v>
      </c>
      <c r="I494" s="104">
        <v>0.0</v>
      </c>
      <c r="J494" s="104">
        <v>0.0</v>
      </c>
      <c r="K494" s="110" t="s">
        <v>1370</v>
      </c>
      <c r="L494" s="110" t="s">
        <v>1371</v>
      </c>
    </row>
    <row r="495">
      <c r="A495" s="110" t="s">
        <v>1108</v>
      </c>
      <c r="B495" s="104">
        <v>0.0</v>
      </c>
      <c r="C495" s="110" t="s">
        <v>386</v>
      </c>
      <c r="D495" s="110" t="s">
        <v>210</v>
      </c>
      <c r="E495" s="104">
        <v>0.0</v>
      </c>
      <c r="F495" s="104">
        <v>29.0</v>
      </c>
      <c r="G495" s="110" t="s">
        <v>345</v>
      </c>
      <c r="H495" s="112">
        <v>45982.0</v>
      </c>
      <c r="I495" s="110" t="s">
        <v>1108</v>
      </c>
      <c r="J495" s="104">
        <v>0.0</v>
      </c>
      <c r="K495" s="110" t="s">
        <v>1372</v>
      </c>
      <c r="L495" s="110" t="s">
        <v>1373</v>
      </c>
    </row>
    <row r="496">
      <c r="A496" s="110" t="s">
        <v>1110</v>
      </c>
      <c r="B496" s="104">
        <v>0.0</v>
      </c>
      <c r="C496" s="110" t="s">
        <v>331</v>
      </c>
      <c r="D496" s="110" t="s">
        <v>210</v>
      </c>
      <c r="E496" s="104">
        <v>0.0</v>
      </c>
      <c r="F496" s="104">
        <v>25.0</v>
      </c>
      <c r="G496" s="110" t="s">
        <v>540</v>
      </c>
      <c r="H496" s="112">
        <v>45982.0</v>
      </c>
      <c r="I496" s="110" t="s">
        <v>1110</v>
      </c>
      <c r="J496" s="104">
        <v>0.0</v>
      </c>
      <c r="K496" s="110" t="s">
        <v>1374</v>
      </c>
      <c r="L496" s="110" t="s">
        <v>1375</v>
      </c>
    </row>
    <row r="497">
      <c r="A497" s="110" t="s">
        <v>1112</v>
      </c>
      <c r="B497" s="104">
        <v>0.0</v>
      </c>
      <c r="C497" s="110" t="s">
        <v>551</v>
      </c>
      <c r="D497" s="110" t="s">
        <v>552</v>
      </c>
      <c r="E497" s="104">
        <v>0.0</v>
      </c>
      <c r="F497" s="104">
        <v>37.71</v>
      </c>
      <c r="G497" s="110" t="s">
        <v>238</v>
      </c>
      <c r="H497" s="112">
        <v>45681.0</v>
      </c>
      <c r="I497" s="104">
        <v>0.0</v>
      </c>
      <c r="J497" s="104">
        <v>0.0</v>
      </c>
      <c r="K497" s="110" t="s">
        <v>1376</v>
      </c>
      <c r="L497" s="110" t="s">
        <v>1377</v>
      </c>
    </row>
    <row r="498">
      <c r="A498" s="110" t="s">
        <v>1114</v>
      </c>
      <c r="B498" s="104">
        <v>0.0</v>
      </c>
      <c r="C498" s="110" t="s">
        <v>209</v>
      </c>
      <c r="D498" s="110" t="s">
        <v>217</v>
      </c>
      <c r="E498" s="104">
        <v>0.0</v>
      </c>
      <c r="F498" s="104">
        <v>0.0</v>
      </c>
      <c r="G498" s="104">
        <v>0.0</v>
      </c>
      <c r="H498" s="104" t="s">
        <v>232</v>
      </c>
      <c r="I498" s="104">
        <v>0.0</v>
      </c>
      <c r="J498" s="104">
        <v>0.0</v>
      </c>
      <c r="K498" s="110" t="s">
        <v>1378</v>
      </c>
      <c r="L498" s="110" t="s">
        <v>1379</v>
      </c>
    </row>
    <row r="499">
      <c r="A499" s="110" t="s">
        <v>1116</v>
      </c>
      <c r="B499" s="104">
        <v>0.0</v>
      </c>
      <c r="C499" s="110" t="s">
        <v>200</v>
      </c>
      <c r="D499" s="110" t="s">
        <v>201</v>
      </c>
      <c r="E499" s="104">
        <v>0.0</v>
      </c>
      <c r="F499" s="104">
        <v>23.16</v>
      </c>
      <c r="G499" s="110" t="s">
        <v>373</v>
      </c>
      <c r="H499" s="112">
        <v>45671.0</v>
      </c>
      <c r="I499" s="104">
        <v>0.0</v>
      </c>
      <c r="J499" s="104">
        <v>0.0</v>
      </c>
      <c r="K499" s="110" t="s">
        <v>1380</v>
      </c>
      <c r="L499" s="110" t="s">
        <v>1381</v>
      </c>
    </row>
    <row r="500">
      <c r="A500" s="110" t="s">
        <v>1118</v>
      </c>
      <c r="B500" s="110" t="s">
        <v>1118</v>
      </c>
      <c r="C500" s="110" t="s">
        <v>1382</v>
      </c>
      <c r="D500" s="110" t="s">
        <v>210</v>
      </c>
      <c r="E500" s="104">
        <v>0.0</v>
      </c>
      <c r="F500" s="104">
        <v>0.0</v>
      </c>
      <c r="G500" s="104">
        <v>0.0</v>
      </c>
      <c r="H500" s="104" t="s">
        <v>232</v>
      </c>
      <c r="I500" s="104">
        <v>0.0</v>
      </c>
      <c r="J500" s="104">
        <v>0.0</v>
      </c>
      <c r="K500" s="110" t="s">
        <v>1383</v>
      </c>
      <c r="L500" s="110" t="s">
        <v>1384</v>
      </c>
    </row>
    <row r="501">
      <c r="A501" s="110" t="s">
        <v>1121</v>
      </c>
      <c r="B501" s="104">
        <v>0.0</v>
      </c>
      <c r="C501" s="110" t="s">
        <v>247</v>
      </c>
      <c r="D501" s="110" t="s">
        <v>210</v>
      </c>
      <c r="E501" s="104">
        <v>0.0</v>
      </c>
      <c r="F501" s="104">
        <v>14.45</v>
      </c>
      <c r="G501" s="110" t="s">
        <v>1385</v>
      </c>
      <c r="H501" s="112">
        <v>45924.0</v>
      </c>
      <c r="I501" s="110" t="s">
        <v>1386</v>
      </c>
      <c r="J501" s="104">
        <v>0.0</v>
      </c>
      <c r="K501" s="110" t="s">
        <v>1387</v>
      </c>
      <c r="L501" s="110" t="s">
        <v>1388</v>
      </c>
    </row>
    <row r="502">
      <c r="A502" s="110" t="s">
        <v>1121</v>
      </c>
      <c r="B502" s="104">
        <v>0.0</v>
      </c>
      <c r="C502" s="110" t="s">
        <v>247</v>
      </c>
      <c r="D502" s="110" t="s">
        <v>210</v>
      </c>
      <c r="E502" s="104">
        <v>0.0</v>
      </c>
      <c r="F502" s="104">
        <v>0.0</v>
      </c>
      <c r="G502" s="110" t="s">
        <v>1389</v>
      </c>
      <c r="H502" s="112">
        <v>45924.0</v>
      </c>
      <c r="I502" s="110" t="s">
        <v>1386</v>
      </c>
      <c r="J502" s="104">
        <v>0.0</v>
      </c>
      <c r="K502" s="110" t="s">
        <v>1387</v>
      </c>
      <c r="L502" s="110" t="s">
        <v>1390</v>
      </c>
    </row>
    <row r="503">
      <c r="A503" s="110" t="s">
        <v>1121</v>
      </c>
      <c r="B503" s="104">
        <v>0.0</v>
      </c>
      <c r="C503" s="110" t="s">
        <v>247</v>
      </c>
      <c r="D503" s="110" t="s">
        <v>210</v>
      </c>
      <c r="E503" s="104">
        <v>0.0</v>
      </c>
      <c r="F503" s="104">
        <v>0.0</v>
      </c>
      <c r="G503" s="110" t="s">
        <v>373</v>
      </c>
      <c r="H503" s="112">
        <v>45924.0</v>
      </c>
      <c r="I503" s="110" t="s">
        <v>1386</v>
      </c>
      <c r="J503" s="104">
        <v>0.0</v>
      </c>
      <c r="K503" s="110" t="s">
        <v>1387</v>
      </c>
      <c r="L503" s="110" t="s">
        <v>1391</v>
      </c>
    </row>
    <row r="504">
      <c r="A504" s="110" t="s">
        <v>1121</v>
      </c>
      <c r="B504" s="104">
        <v>0.0</v>
      </c>
      <c r="C504" s="110" t="s">
        <v>247</v>
      </c>
      <c r="D504" s="110" t="s">
        <v>210</v>
      </c>
      <c r="E504" s="104">
        <v>0.0</v>
      </c>
      <c r="F504" s="104">
        <v>0.0</v>
      </c>
      <c r="G504" s="110" t="s">
        <v>728</v>
      </c>
      <c r="H504" s="112">
        <v>45924.0</v>
      </c>
      <c r="I504" s="110" t="s">
        <v>1386</v>
      </c>
      <c r="J504" s="104">
        <v>0.0</v>
      </c>
      <c r="K504" s="110" t="s">
        <v>1387</v>
      </c>
      <c r="L504" s="110" t="s">
        <v>1392</v>
      </c>
    </row>
    <row r="505">
      <c r="A505" s="110" t="s">
        <v>1122</v>
      </c>
      <c r="B505" s="104">
        <v>0.0</v>
      </c>
      <c r="C505" s="110" t="s">
        <v>209</v>
      </c>
      <c r="D505" s="110" t="s">
        <v>217</v>
      </c>
      <c r="E505" s="104">
        <v>0.0</v>
      </c>
      <c r="F505" s="104">
        <v>0.0</v>
      </c>
      <c r="G505" s="104">
        <v>0.0</v>
      </c>
      <c r="H505" s="104" t="s">
        <v>232</v>
      </c>
      <c r="I505" s="104">
        <v>0.0</v>
      </c>
      <c r="J505" s="104">
        <v>0.0</v>
      </c>
      <c r="K505" s="110" t="s">
        <v>1393</v>
      </c>
      <c r="L505" s="110" t="s">
        <v>1394</v>
      </c>
    </row>
    <row r="506">
      <c r="A506" s="110" t="s">
        <v>1123</v>
      </c>
      <c r="B506" s="104">
        <v>0.0</v>
      </c>
      <c r="C506" s="110" t="s">
        <v>1395</v>
      </c>
      <c r="D506" s="110" t="s">
        <v>210</v>
      </c>
      <c r="E506" s="104">
        <v>0.0</v>
      </c>
      <c r="F506" s="104">
        <v>241.5</v>
      </c>
      <c r="G506" s="110" t="s">
        <v>338</v>
      </c>
      <c r="H506" s="112">
        <v>45817.0</v>
      </c>
      <c r="I506" s="110" t="s">
        <v>1396</v>
      </c>
      <c r="J506" s="104">
        <v>0.0</v>
      </c>
      <c r="K506" s="110" t="s">
        <v>1397</v>
      </c>
      <c r="L506" s="110" t="s">
        <v>1398</v>
      </c>
    </row>
    <row r="507">
      <c r="A507" s="110" t="s">
        <v>1125</v>
      </c>
      <c r="B507" s="104">
        <v>0.0</v>
      </c>
      <c r="C507" s="110" t="s">
        <v>1399</v>
      </c>
      <c r="D507" s="110" t="s">
        <v>267</v>
      </c>
      <c r="E507" s="104">
        <v>0.0</v>
      </c>
      <c r="F507" s="104">
        <v>90.0</v>
      </c>
      <c r="G507" s="110" t="s">
        <v>218</v>
      </c>
      <c r="H507" s="112">
        <v>45744.0</v>
      </c>
      <c r="I507" s="110" t="s">
        <v>1400</v>
      </c>
      <c r="J507" s="104">
        <v>0.0</v>
      </c>
      <c r="K507" s="110" t="s">
        <v>1401</v>
      </c>
      <c r="L507" s="110" t="s">
        <v>1402</v>
      </c>
    </row>
    <row r="508">
      <c r="A508" s="110" t="s">
        <v>1128</v>
      </c>
      <c r="B508" s="104">
        <v>0.0</v>
      </c>
      <c r="C508" s="110" t="s">
        <v>209</v>
      </c>
      <c r="D508" s="110" t="s">
        <v>217</v>
      </c>
      <c r="E508" s="104">
        <v>0.0</v>
      </c>
      <c r="F508" s="104">
        <v>0.0</v>
      </c>
      <c r="G508" s="104">
        <v>0.0</v>
      </c>
      <c r="H508" s="104" t="s">
        <v>232</v>
      </c>
      <c r="I508" s="104">
        <v>0.0</v>
      </c>
      <c r="J508" s="104">
        <v>0.0</v>
      </c>
      <c r="K508" s="110" t="s">
        <v>1403</v>
      </c>
      <c r="L508" s="110" t="s">
        <v>1404</v>
      </c>
    </row>
    <row r="509">
      <c r="A509" s="110" t="s">
        <v>1132</v>
      </c>
      <c r="B509" s="104">
        <v>0.0</v>
      </c>
      <c r="C509" s="110" t="s">
        <v>386</v>
      </c>
      <c r="D509" s="110" t="s">
        <v>217</v>
      </c>
      <c r="E509" s="104">
        <v>0.0</v>
      </c>
      <c r="F509" s="104">
        <v>130.0</v>
      </c>
      <c r="G509" s="110" t="s">
        <v>302</v>
      </c>
      <c r="H509" s="112">
        <v>45534.0</v>
      </c>
      <c r="I509" s="104">
        <v>0.0</v>
      </c>
      <c r="J509" s="104">
        <v>0.0</v>
      </c>
      <c r="K509" s="110" t="s">
        <v>1405</v>
      </c>
      <c r="L509" s="110" t="s">
        <v>1406</v>
      </c>
    </row>
    <row r="510">
      <c r="A510" s="110" t="s">
        <v>1138</v>
      </c>
      <c r="B510" s="110" t="s">
        <v>1138</v>
      </c>
      <c r="C510" s="110" t="s">
        <v>1056</v>
      </c>
      <c r="D510" s="110" t="s">
        <v>217</v>
      </c>
      <c r="E510" s="104">
        <v>0.0</v>
      </c>
      <c r="F510" s="104">
        <v>0.0</v>
      </c>
      <c r="G510" s="104">
        <v>0.0</v>
      </c>
      <c r="H510" s="104" t="s">
        <v>232</v>
      </c>
      <c r="I510" s="104">
        <v>0.0</v>
      </c>
      <c r="J510" s="104">
        <v>0.0</v>
      </c>
      <c r="K510" s="110" t="s">
        <v>1407</v>
      </c>
      <c r="L510" s="110" t="s">
        <v>1408</v>
      </c>
    </row>
    <row r="511">
      <c r="A511" s="110" t="s">
        <v>1141</v>
      </c>
      <c r="B511" s="104">
        <v>0.0</v>
      </c>
      <c r="C511" s="110" t="s">
        <v>209</v>
      </c>
      <c r="D511" s="110" t="s">
        <v>217</v>
      </c>
      <c r="E511" s="104">
        <v>0.0</v>
      </c>
      <c r="F511" s="104">
        <v>0.0</v>
      </c>
      <c r="G511" s="104">
        <v>0.0</v>
      </c>
      <c r="H511" s="104" t="s">
        <v>232</v>
      </c>
      <c r="I511" s="104">
        <v>0.0</v>
      </c>
      <c r="J511" s="104">
        <v>0.0</v>
      </c>
      <c r="K511" s="110" t="s">
        <v>1409</v>
      </c>
      <c r="L511" s="110" t="s">
        <v>1410</v>
      </c>
    </row>
    <row r="512">
      <c r="A512" s="110" t="s">
        <v>1143</v>
      </c>
      <c r="B512" s="110" t="s">
        <v>1411</v>
      </c>
      <c r="C512" s="110" t="s">
        <v>714</v>
      </c>
      <c r="D512" s="110" t="s">
        <v>322</v>
      </c>
      <c r="E512" s="104">
        <v>0.0</v>
      </c>
      <c r="F512" s="104">
        <v>5.71</v>
      </c>
      <c r="G512" s="110" t="s">
        <v>1412</v>
      </c>
      <c r="H512" s="112">
        <v>45915.0</v>
      </c>
      <c r="I512" s="110" t="s">
        <v>1143</v>
      </c>
      <c r="J512" s="104">
        <v>0.0</v>
      </c>
      <c r="K512" s="110" t="s">
        <v>1413</v>
      </c>
      <c r="L512" s="110" t="s">
        <v>1414</v>
      </c>
    </row>
    <row r="513">
      <c r="A513" s="110" t="s">
        <v>1143</v>
      </c>
      <c r="B513" s="110" t="s">
        <v>1411</v>
      </c>
      <c r="C513" s="110" t="s">
        <v>714</v>
      </c>
      <c r="D513" s="110" t="s">
        <v>322</v>
      </c>
      <c r="E513" s="104">
        <v>0.0</v>
      </c>
      <c r="F513" s="104">
        <v>5.03</v>
      </c>
      <c r="G513" s="110" t="s">
        <v>1415</v>
      </c>
      <c r="H513" s="112">
        <v>45915.0</v>
      </c>
      <c r="I513" s="110" t="s">
        <v>1143</v>
      </c>
      <c r="J513" s="104">
        <v>0.0</v>
      </c>
      <c r="K513" s="110" t="s">
        <v>1413</v>
      </c>
      <c r="L513" s="110" t="s">
        <v>1416</v>
      </c>
    </row>
    <row r="514">
      <c r="A514" s="110" t="s">
        <v>1143</v>
      </c>
      <c r="B514" s="110" t="s">
        <v>1411</v>
      </c>
      <c r="C514" s="110" t="s">
        <v>714</v>
      </c>
      <c r="D514" s="110" t="s">
        <v>322</v>
      </c>
      <c r="E514" s="104">
        <v>0.0</v>
      </c>
      <c r="F514" s="104">
        <v>4.04</v>
      </c>
      <c r="G514" s="110" t="s">
        <v>1417</v>
      </c>
      <c r="H514" s="112">
        <v>45915.0</v>
      </c>
      <c r="I514" s="110" t="s">
        <v>1143</v>
      </c>
      <c r="J514" s="104">
        <v>0.0</v>
      </c>
      <c r="K514" s="110" t="s">
        <v>1413</v>
      </c>
      <c r="L514" s="110" t="s">
        <v>1418</v>
      </c>
    </row>
    <row r="515">
      <c r="A515" s="110" t="s">
        <v>1145</v>
      </c>
      <c r="B515" s="104">
        <v>0.0</v>
      </c>
      <c r="C515" s="110" t="s">
        <v>317</v>
      </c>
      <c r="D515" s="110" t="s">
        <v>201</v>
      </c>
      <c r="E515" s="104">
        <v>0.0</v>
      </c>
      <c r="F515" s="104">
        <v>19.5</v>
      </c>
      <c r="G515" s="104">
        <v>0.0</v>
      </c>
      <c r="H515" s="112">
        <v>45874.0</v>
      </c>
      <c r="I515" s="104">
        <v>0.0</v>
      </c>
      <c r="J515" s="104">
        <v>0.0</v>
      </c>
      <c r="K515" s="110" t="s">
        <v>1419</v>
      </c>
      <c r="L515" s="110" t="s">
        <v>1420</v>
      </c>
    </row>
    <row r="516">
      <c r="A516" s="110" t="s">
        <v>1147</v>
      </c>
      <c r="B516" s="104">
        <v>0.0</v>
      </c>
      <c r="C516" s="110" t="s">
        <v>839</v>
      </c>
      <c r="D516" s="110" t="s">
        <v>226</v>
      </c>
      <c r="E516" s="104">
        <v>0.0</v>
      </c>
      <c r="F516" s="104">
        <v>4.01</v>
      </c>
      <c r="G516" s="110" t="s">
        <v>1421</v>
      </c>
      <c r="H516" s="112">
        <v>45980.0</v>
      </c>
      <c r="I516" s="104">
        <v>0.0</v>
      </c>
      <c r="J516" s="104">
        <v>0.0</v>
      </c>
      <c r="K516" s="110" t="s">
        <v>1422</v>
      </c>
      <c r="L516" s="110" t="s">
        <v>1423</v>
      </c>
    </row>
    <row r="517">
      <c r="A517" s="110" t="s">
        <v>1149</v>
      </c>
      <c r="B517" s="104">
        <v>0.0</v>
      </c>
      <c r="C517" s="110" t="s">
        <v>1424</v>
      </c>
      <c r="D517" s="110" t="s">
        <v>226</v>
      </c>
      <c r="E517" s="104">
        <v>0.0</v>
      </c>
      <c r="F517" s="104">
        <v>12.46</v>
      </c>
      <c r="G517" s="110" t="s">
        <v>625</v>
      </c>
      <c r="H517" s="112">
        <v>45855.0</v>
      </c>
      <c r="I517" s="110" t="s">
        <v>1425</v>
      </c>
      <c r="J517" s="104">
        <v>0.0</v>
      </c>
      <c r="K517" s="110" t="s">
        <v>1426</v>
      </c>
      <c r="L517" s="110" t="s">
        <v>1427</v>
      </c>
    </row>
    <row r="518">
      <c r="A518" s="110" t="s">
        <v>1151</v>
      </c>
      <c r="B518" s="104">
        <v>0.0</v>
      </c>
      <c r="C518" s="110" t="s">
        <v>1424</v>
      </c>
      <c r="D518" s="110" t="s">
        <v>226</v>
      </c>
      <c r="E518" s="104">
        <v>0.0</v>
      </c>
      <c r="F518" s="104">
        <v>4.34</v>
      </c>
      <c r="G518" s="110" t="s">
        <v>1428</v>
      </c>
      <c r="H518" s="112">
        <v>45855.0</v>
      </c>
      <c r="I518" s="110" t="s">
        <v>1425</v>
      </c>
      <c r="J518" s="104">
        <v>0.0</v>
      </c>
      <c r="K518" s="110" t="s">
        <v>1429</v>
      </c>
      <c r="L518" s="110" t="s">
        <v>1430</v>
      </c>
    </row>
    <row r="519">
      <c r="A519" s="110" t="s">
        <v>1154</v>
      </c>
      <c r="B519" s="104">
        <v>0.0</v>
      </c>
      <c r="C519" s="110" t="s">
        <v>551</v>
      </c>
      <c r="D519" s="110" t="s">
        <v>544</v>
      </c>
      <c r="E519" s="104">
        <v>0.0</v>
      </c>
      <c r="F519" s="104">
        <v>30.43</v>
      </c>
      <c r="G519" s="110" t="s">
        <v>206</v>
      </c>
      <c r="H519" s="112">
        <v>45910.0</v>
      </c>
      <c r="I519" s="110" t="s">
        <v>1154</v>
      </c>
      <c r="J519" s="104">
        <v>0.0</v>
      </c>
      <c r="K519" s="110" t="s">
        <v>1431</v>
      </c>
      <c r="L519" s="110" t="s">
        <v>1432</v>
      </c>
    </row>
    <row r="520">
      <c r="A520" s="110" t="s">
        <v>1156</v>
      </c>
      <c r="B520" s="104">
        <v>0.0</v>
      </c>
      <c r="C520" s="110" t="s">
        <v>317</v>
      </c>
      <c r="D520" s="110" t="s">
        <v>210</v>
      </c>
      <c r="E520" s="104">
        <v>0.0</v>
      </c>
      <c r="F520" s="104">
        <v>108.0</v>
      </c>
      <c r="G520" s="104">
        <v>0.0</v>
      </c>
      <c r="H520" s="112">
        <v>45874.0</v>
      </c>
      <c r="I520" s="104">
        <v>0.0</v>
      </c>
      <c r="J520" s="104">
        <v>0.0</v>
      </c>
      <c r="K520" s="110" t="s">
        <v>1433</v>
      </c>
      <c r="L520" s="110" t="s">
        <v>1434</v>
      </c>
    </row>
    <row r="521">
      <c r="A521" s="110" t="s">
        <v>1159</v>
      </c>
      <c r="B521" s="104">
        <v>0.0</v>
      </c>
      <c r="C521" s="110" t="s">
        <v>1105</v>
      </c>
      <c r="D521" s="110" t="s">
        <v>274</v>
      </c>
      <c r="E521" s="104">
        <v>0.0</v>
      </c>
      <c r="F521" s="104">
        <v>511.0</v>
      </c>
      <c r="G521" s="104">
        <v>100000.0</v>
      </c>
      <c r="H521" s="112">
        <v>45896.0</v>
      </c>
      <c r="I521" s="110" t="s">
        <v>1106</v>
      </c>
      <c r="J521" s="104">
        <v>0.0</v>
      </c>
      <c r="K521" s="110" t="s">
        <v>1435</v>
      </c>
      <c r="L521" s="110" t="s">
        <v>1436</v>
      </c>
    </row>
    <row r="522">
      <c r="A522" s="110" t="s">
        <v>1161</v>
      </c>
      <c r="B522" s="104">
        <v>0.0</v>
      </c>
      <c r="C522" s="110" t="s">
        <v>1105</v>
      </c>
      <c r="D522" s="110" t="s">
        <v>274</v>
      </c>
      <c r="E522" s="104">
        <v>0.0</v>
      </c>
      <c r="F522" s="104">
        <v>427.0</v>
      </c>
      <c r="G522" s="104">
        <v>70000.0</v>
      </c>
      <c r="H522" s="112">
        <v>45896.0</v>
      </c>
      <c r="I522" s="110" t="s">
        <v>1106</v>
      </c>
      <c r="J522" s="104">
        <v>0.0</v>
      </c>
      <c r="K522" s="110" t="s">
        <v>1437</v>
      </c>
      <c r="L522" s="110" t="s">
        <v>1438</v>
      </c>
    </row>
    <row r="523">
      <c r="A523" s="110" t="s">
        <v>1163</v>
      </c>
      <c r="B523" s="104">
        <v>0.0</v>
      </c>
      <c r="C523" s="110" t="s">
        <v>1105</v>
      </c>
      <c r="D523" s="110" t="s">
        <v>274</v>
      </c>
      <c r="E523" s="104">
        <v>0.0</v>
      </c>
      <c r="F523" s="104">
        <v>1000.0</v>
      </c>
      <c r="G523" s="104">
        <v>50000.0</v>
      </c>
      <c r="H523" s="112">
        <v>45896.0</v>
      </c>
      <c r="I523" s="110" t="s">
        <v>1106</v>
      </c>
      <c r="J523" s="104">
        <v>0.0</v>
      </c>
      <c r="K523" s="110" t="s">
        <v>1439</v>
      </c>
      <c r="L523" s="110" t="s">
        <v>1440</v>
      </c>
    </row>
    <row r="524">
      <c r="A524" s="110" t="s">
        <v>1166</v>
      </c>
      <c r="B524" s="104">
        <v>0.0</v>
      </c>
      <c r="C524" s="110" t="s">
        <v>1105</v>
      </c>
      <c r="D524" s="110" t="s">
        <v>274</v>
      </c>
      <c r="E524" s="104">
        <v>0.0</v>
      </c>
      <c r="F524" s="104">
        <v>463.45</v>
      </c>
      <c r="G524" s="104">
        <v>65000.0</v>
      </c>
      <c r="H524" s="112">
        <v>45896.0</v>
      </c>
      <c r="I524" s="110" t="s">
        <v>1106</v>
      </c>
      <c r="J524" s="104">
        <v>0.0</v>
      </c>
      <c r="K524" s="110" t="s">
        <v>1441</v>
      </c>
      <c r="L524" s="110" t="s">
        <v>1442</v>
      </c>
    </row>
    <row r="525">
      <c r="A525" s="110" t="s">
        <v>1168</v>
      </c>
      <c r="B525" s="104">
        <v>0.0</v>
      </c>
      <c r="C525" s="110" t="s">
        <v>1105</v>
      </c>
      <c r="D525" s="110" t="s">
        <v>274</v>
      </c>
      <c r="E525" s="104">
        <v>0.0</v>
      </c>
      <c r="F525" s="104">
        <v>495.0</v>
      </c>
      <c r="G525" s="104">
        <v>90000.0</v>
      </c>
      <c r="H525" s="112">
        <v>45896.0</v>
      </c>
      <c r="I525" s="110" t="s">
        <v>1106</v>
      </c>
      <c r="J525" s="104">
        <v>0.0</v>
      </c>
      <c r="K525" s="110" t="s">
        <v>1443</v>
      </c>
      <c r="L525" s="110" t="s">
        <v>1444</v>
      </c>
    </row>
    <row r="526">
      <c r="A526" s="110" t="s">
        <v>1170</v>
      </c>
      <c r="B526" s="104">
        <v>0.0</v>
      </c>
      <c r="C526" s="110" t="s">
        <v>1105</v>
      </c>
      <c r="D526" s="110" t="s">
        <v>274</v>
      </c>
      <c r="E526" s="104">
        <v>0.0</v>
      </c>
      <c r="F526" s="104">
        <v>495.0</v>
      </c>
      <c r="G526" s="104">
        <v>100000.0</v>
      </c>
      <c r="H526" s="112">
        <v>45896.0</v>
      </c>
      <c r="I526" s="110" t="s">
        <v>1106</v>
      </c>
      <c r="J526" s="104">
        <v>0.0</v>
      </c>
      <c r="K526" s="110" t="s">
        <v>1445</v>
      </c>
      <c r="L526" s="110" t="s">
        <v>1446</v>
      </c>
    </row>
    <row r="527">
      <c r="A527" s="110" t="s">
        <v>1172</v>
      </c>
      <c r="B527" s="104">
        <v>0.0</v>
      </c>
      <c r="C527" s="110" t="s">
        <v>1105</v>
      </c>
      <c r="D527" s="110" t="s">
        <v>274</v>
      </c>
      <c r="E527" s="104">
        <v>0.0</v>
      </c>
      <c r="F527" s="104">
        <v>413.0</v>
      </c>
      <c r="G527" s="104">
        <v>70000.0</v>
      </c>
      <c r="H527" s="112">
        <v>45896.0</v>
      </c>
      <c r="I527" s="110" t="s">
        <v>1106</v>
      </c>
      <c r="J527" s="104">
        <v>0.0</v>
      </c>
      <c r="K527" s="110" t="s">
        <v>1447</v>
      </c>
      <c r="L527" s="110" t="s">
        <v>1448</v>
      </c>
    </row>
    <row r="528">
      <c r="A528" s="110" t="s">
        <v>1174</v>
      </c>
      <c r="B528" s="104">
        <v>0.0</v>
      </c>
      <c r="C528" s="110" t="s">
        <v>1105</v>
      </c>
      <c r="D528" s="110" t="s">
        <v>274</v>
      </c>
      <c r="E528" s="104">
        <v>0.0</v>
      </c>
      <c r="F528" s="104">
        <v>900.0</v>
      </c>
      <c r="G528" s="104">
        <v>50000.0</v>
      </c>
      <c r="H528" s="112">
        <v>45896.0</v>
      </c>
      <c r="I528" s="110" t="s">
        <v>1106</v>
      </c>
      <c r="J528" s="104">
        <v>0.0</v>
      </c>
      <c r="K528" s="110" t="s">
        <v>1449</v>
      </c>
      <c r="L528" s="110" t="s">
        <v>1450</v>
      </c>
    </row>
    <row r="529">
      <c r="A529" s="110" t="s">
        <v>1176</v>
      </c>
      <c r="B529" s="104">
        <v>0.0</v>
      </c>
      <c r="C529" s="110" t="s">
        <v>1105</v>
      </c>
      <c r="D529" s="110" t="s">
        <v>274</v>
      </c>
      <c r="E529" s="104">
        <v>0.0</v>
      </c>
      <c r="F529" s="104">
        <v>435.5</v>
      </c>
      <c r="G529" s="104">
        <v>65000.0</v>
      </c>
      <c r="H529" s="112">
        <v>45896.0</v>
      </c>
      <c r="I529" s="110" t="s">
        <v>1106</v>
      </c>
      <c r="J529" s="104">
        <v>0.0</v>
      </c>
      <c r="K529" s="110" t="s">
        <v>1451</v>
      </c>
      <c r="L529" s="110" t="s">
        <v>1452</v>
      </c>
    </row>
    <row r="530">
      <c r="A530" s="110" t="s">
        <v>1178</v>
      </c>
      <c r="B530" s="104">
        <v>0.0</v>
      </c>
      <c r="C530" s="110" t="s">
        <v>1105</v>
      </c>
      <c r="D530" s="110" t="s">
        <v>274</v>
      </c>
      <c r="E530" s="104">
        <v>0.0</v>
      </c>
      <c r="F530" s="104">
        <v>428.4</v>
      </c>
      <c r="G530" s="104">
        <v>90000.0</v>
      </c>
      <c r="H530" s="112">
        <v>45896.0</v>
      </c>
      <c r="I530" s="110" t="s">
        <v>1106</v>
      </c>
      <c r="J530" s="104">
        <v>0.0</v>
      </c>
      <c r="K530" s="110" t="s">
        <v>1453</v>
      </c>
      <c r="L530" s="110" t="s">
        <v>1454</v>
      </c>
    </row>
    <row r="531">
      <c r="A531" s="110" t="s">
        <v>1180</v>
      </c>
      <c r="B531" s="104">
        <v>0.0</v>
      </c>
      <c r="C531" s="110" t="s">
        <v>1105</v>
      </c>
      <c r="D531" s="110" t="s">
        <v>274</v>
      </c>
      <c r="E531" s="104">
        <v>0.0</v>
      </c>
      <c r="F531" s="104">
        <v>643.5</v>
      </c>
      <c r="G531" s="104">
        <v>130000.0</v>
      </c>
      <c r="H531" s="112">
        <v>45896.0</v>
      </c>
      <c r="I531" s="110" t="s">
        <v>1106</v>
      </c>
      <c r="J531" s="104">
        <v>0.0</v>
      </c>
      <c r="K531" s="110" t="s">
        <v>1455</v>
      </c>
      <c r="L531" s="110" t="s">
        <v>1456</v>
      </c>
    </row>
    <row r="532">
      <c r="A532" s="110" t="s">
        <v>1182</v>
      </c>
      <c r="B532" s="104">
        <v>0.0</v>
      </c>
      <c r="C532" s="110" t="s">
        <v>1105</v>
      </c>
      <c r="D532" s="110" t="s">
        <v>274</v>
      </c>
      <c r="E532" s="104">
        <v>0.0</v>
      </c>
      <c r="F532" s="104">
        <v>835.9</v>
      </c>
      <c r="G532" s="104">
        <v>130000.0</v>
      </c>
      <c r="H532" s="112">
        <v>45896.0</v>
      </c>
      <c r="I532" s="110" t="s">
        <v>1106</v>
      </c>
      <c r="J532" s="104">
        <v>0.0</v>
      </c>
      <c r="K532" s="110" t="s">
        <v>1457</v>
      </c>
      <c r="L532" s="110" t="s">
        <v>1458</v>
      </c>
    </row>
    <row r="533">
      <c r="A533" s="110" t="s">
        <v>1185</v>
      </c>
      <c r="B533" s="104">
        <v>0.0</v>
      </c>
      <c r="C533" s="110" t="s">
        <v>1105</v>
      </c>
      <c r="D533" s="110" t="s">
        <v>274</v>
      </c>
      <c r="E533" s="104">
        <v>0.0</v>
      </c>
      <c r="F533" s="104">
        <v>812.5</v>
      </c>
      <c r="G533" s="104">
        <v>130000.0</v>
      </c>
      <c r="H533" s="112">
        <v>45896.0</v>
      </c>
      <c r="I533" s="110" t="s">
        <v>1106</v>
      </c>
      <c r="J533" s="104">
        <v>0.0</v>
      </c>
      <c r="K533" s="110" t="s">
        <v>1459</v>
      </c>
      <c r="L533" s="110" t="s">
        <v>1460</v>
      </c>
    </row>
    <row r="534">
      <c r="A534" s="110" t="s">
        <v>1188</v>
      </c>
      <c r="B534" s="104">
        <v>0.0</v>
      </c>
      <c r="C534" s="110" t="s">
        <v>1105</v>
      </c>
      <c r="D534" s="110" t="s">
        <v>274</v>
      </c>
      <c r="E534" s="104">
        <v>0.0</v>
      </c>
      <c r="F534" s="104">
        <v>841.5</v>
      </c>
      <c r="G534" s="104">
        <v>170000.0</v>
      </c>
      <c r="H534" s="112">
        <v>45896.0</v>
      </c>
      <c r="I534" s="110" t="s">
        <v>1106</v>
      </c>
      <c r="J534" s="104">
        <v>0.0</v>
      </c>
      <c r="K534" s="110" t="s">
        <v>1461</v>
      </c>
      <c r="L534" s="110" t="s">
        <v>1462</v>
      </c>
    </row>
    <row r="535">
      <c r="A535" s="110" t="s">
        <v>1190</v>
      </c>
      <c r="B535" s="104">
        <v>0.0</v>
      </c>
      <c r="C535" s="110" t="s">
        <v>1105</v>
      </c>
      <c r="D535" s="110" t="s">
        <v>274</v>
      </c>
      <c r="E535" s="104">
        <v>0.0</v>
      </c>
      <c r="F535" s="104">
        <v>2280.0</v>
      </c>
      <c r="G535" s="104">
        <v>300000.0</v>
      </c>
      <c r="H535" s="112">
        <v>45896.0</v>
      </c>
      <c r="I535" s="110" t="s">
        <v>1106</v>
      </c>
      <c r="J535" s="104">
        <v>0.0</v>
      </c>
      <c r="K535" s="110" t="s">
        <v>1463</v>
      </c>
      <c r="L535" s="110" t="s">
        <v>1464</v>
      </c>
    </row>
    <row r="536">
      <c r="A536" s="110" t="s">
        <v>1192</v>
      </c>
      <c r="B536" s="104">
        <v>0.0</v>
      </c>
      <c r="C536" s="110" t="s">
        <v>209</v>
      </c>
      <c r="D536" s="110" t="s">
        <v>217</v>
      </c>
      <c r="E536" s="104">
        <v>0.0</v>
      </c>
      <c r="F536" s="104">
        <v>650.0</v>
      </c>
      <c r="G536" s="110" t="s">
        <v>211</v>
      </c>
      <c r="H536" s="112">
        <v>45834.0</v>
      </c>
      <c r="I536" s="110" t="s">
        <v>1192</v>
      </c>
      <c r="J536" s="104">
        <v>0.0</v>
      </c>
      <c r="K536" s="110" t="s">
        <v>1465</v>
      </c>
      <c r="L536" s="110" t="s">
        <v>1466</v>
      </c>
    </row>
    <row r="537">
      <c r="A537" s="110" t="s">
        <v>1195</v>
      </c>
      <c r="B537" s="104">
        <v>0.0</v>
      </c>
      <c r="C537" s="110" t="s">
        <v>1467</v>
      </c>
      <c r="D537" s="110" t="s">
        <v>210</v>
      </c>
      <c r="E537" s="104">
        <v>0.0</v>
      </c>
      <c r="F537" s="104">
        <v>0.0</v>
      </c>
      <c r="G537" s="104">
        <v>0.0</v>
      </c>
      <c r="H537" s="104" t="s">
        <v>232</v>
      </c>
      <c r="I537" s="104">
        <v>0.0</v>
      </c>
      <c r="J537" s="104">
        <v>0.0</v>
      </c>
      <c r="K537" s="110" t="s">
        <v>1468</v>
      </c>
      <c r="L537" s="110" t="s">
        <v>1469</v>
      </c>
    </row>
    <row r="538">
      <c r="A538" s="110" t="s">
        <v>1195</v>
      </c>
      <c r="B538" s="104">
        <v>0.0</v>
      </c>
      <c r="C538" s="110" t="s">
        <v>1467</v>
      </c>
      <c r="D538" s="110" t="s">
        <v>210</v>
      </c>
      <c r="E538" s="104">
        <v>0.0</v>
      </c>
      <c r="F538" s="104">
        <v>1450.0</v>
      </c>
      <c r="G538" s="104">
        <v>0.0</v>
      </c>
      <c r="H538" s="112">
        <v>44764.0</v>
      </c>
      <c r="I538" s="104">
        <v>0.0</v>
      </c>
      <c r="J538" s="104">
        <v>0.0</v>
      </c>
      <c r="K538" s="110" t="s">
        <v>1468</v>
      </c>
      <c r="L538" s="110" t="s">
        <v>1470</v>
      </c>
    </row>
    <row r="539">
      <c r="A539" s="110" t="s">
        <v>1197</v>
      </c>
      <c r="B539" s="104">
        <v>0.0</v>
      </c>
      <c r="C539" s="110" t="s">
        <v>209</v>
      </c>
      <c r="D539" s="110" t="s">
        <v>201</v>
      </c>
      <c r="E539" s="104">
        <v>0.0</v>
      </c>
      <c r="F539" s="104">
        <v>9.25</v>
      </c>
      <c r="G539" s="104">
        <v>0.0</v>
      </c>
      <c r="H539" s="112">
        <v>44980.0</v>
      </c>
      <c r="I539" s="110" t="s">
        <v>1471</v>
      </c>
      <c r="J539" s="104">
        <v>0.0</v>
      </c>
      <c r="K539" s="110" t="s">
        <v>1472</v>
      </c>
      <c r="L539" s="110" t="s">
        <v>1473</v>
      </c>
    </row>
    <row r="540">
      <c r="A540" s="110" t="s">
        <v>1202</v>
      </c>
      <c r="B540" s="110" t="s">
        <v>1474</v>
      </c>
      <c r="C540" s="110" t="s">
        <v>1475</v>
      </c>
      <c r="D540" s="110" t="s">
        <v>201</v>
      </c>
      <c r="E540" s="104">
        <v>0.0</v>
      </c>
      <c r="F540" s="104">
        <v>9.71</v>
      </c>
      <c r="G540" s="110" t="s">
        <v>974</v>
      </c>
      <c r="H540" s="112">
        <v>45709.0</v>
      </c>
      <c r="I540" s="104">
        <v>0.0</v>
      </c>
      <c r="J540" s="104">
        <v>0.0</v>
      </c>
      <c r="K540" s="110" t="s">
        <v>1476</v>
      </c>
      <c r="L540" s="110" t="s">
        <v>1477</v>
      </c>
    </row>
    <row r="541">
      <c r="A541" s="110" t="s">
        <v>1202</v>
      </c>
      <c r="B541" s="104">
        <v>0.0</v>
      </c>
      <c r="C541" s="110" t="s">
        <v>209</v>
      </c>
      <c r="D541" s="110" t="s">
        <v>217</v>
      </c>
      <c r="E541" s="104">
        <v>0.0</v>
      </c>
      <c r="F541" s="104">
        <v>0.0</v>
      </c>
      <c r="G541" s="104">
        <v>0.0</v>
      </c>
      <c r="H541" s="104" t="s">
        <v>232</v>
      </c>
      <c r="I541" s="104">
        <v>0.0</v>
      </c>
      <c r="J541" s="104">
        <v>0.0</v>
      </c>
      <c r="K541" s="110" t="s">
        <v>1478</v>
      </c>
      <c r="L541" s="110" t="s">
        <v>1479</v>
      </c>
    </row>
    <row r="542">
      <c r="A542" s="110" t="s">
        <v>1205</v>
      </c>
      <c r="B542" s="104">
        <v>0.0</v>
      </c>
      <c r="C542" s="110" t="s">
        <v>1480</v>
      </c>
      <c r="D542" s="110" t="s">
        <v>201</v>
      </c>
      <c r="E542" s="104">
        <v>0.0</v>
      </c>
      <c r="F542" s="104">
        <v>7.95</v>
      </c>
      <c r="G542" s="110" t="s">
        <v>1481</v>
      </c>
      <c r="H542" s="112">
        <v>45838.0</v>
      </c>
      <c r="I542" s="110" t="s">
        <v>1205</v>
      </c>
      <c r="J542" s="104">
        <v>0.0</v>
      </c>
      <c r="K542" s="110" t="s">
        <v>1482</v>
      </c>
      <c r="L542" s="110" t="s">
        <v>1483</v>
      </c>
    </row>
    <row r="543">
      <c r="A543" s="110" t="s">
        <v>1209</v>
      </c>
      <c r="B543" s="104">
        <v>0.0</v>
      </c>
      <c r="C543" s="110" t="s">
        <v>417</v>
      </c>
      <c r="D543" s="110" t="s">
        <v>201</v>
      </c>
      <c r="E543" s="104">
        <v>0.0</v>
      </c>
      <c r="F543" s="104">
        <v>20.0</v>
      </c>
      <c r="G543" s="110" t="s">
        <v>1484</v>
      </c>
      <c r="H543" s="112">
        <v>45897.0</v>
      </c>
      <c r="I543" s="104">
        <v>0.0</v>
      </c>
      <c r="J543" s="104">
        <v>0.0</v>
      </c>
      <c r="K543" s="110" t="s">
        <v>1485</v>
      </c>
      <c r="L543" s="110" t="s">
        <v>1486</v>
      </c>
    </row>
    <row r="544">
      <c r="A544" s="110" t="s">
        <v>1212</v>
      </c>
      <c r="B544" s="104">
        <v>0.0</v>
      </c>
      <c r="C544" s="110" t="s">
        <v>209</v>
      </c>
      <c r="D544" s="110" t="s">
        <v>201</v>
      </c>
      <c r="E544" s="104">
        <v>18.5</v>
      </c>
      <c r="F544" s="104">
        <v>18.5</v>
      </c>
      <c r="G544" s="110" t="s">
        <v>218</v>
      </c>
      <c r="H544" s="112">
        <v>45992.0</v>
      </c>
      <c r="I544" s="110" t="s">
        <v>1212</v>
      </c>
      <c r="J544" s="104">
        <v>0.0</v>
      </c>
      <c r="K544" s="110" t="s">
        <v>1487</v>
      </c>
      <c r="L544" s="110" t="s">
        <v>1488</v>
      </c>
    </row>
    <row r="545">
      <c r="A545" s="110" t="s">
        <v>1213</v>
      </c>
      <c r="B545" s="104">
        <v>0.0</v>
      </c>
      <c r="C545" s="110" t="s">
        <v>993</v>
      </c>
      <c r="D545" s="110" t="s">
        <v>217</v>
      </c>
      <c r="E545" s="104">
        <v>0.0</v>
      </c>
      <c r="F545" s="104">
        <v>270.0</v>
      </c>
      <c r="G545" s="110" t="s">
        <v>1489</v>
      </c>
      <c r="H545" s="112">
        <v>45707.0</v>
      </c>
      <c r="I545" s="104">
        <v>0.0</v>
      </c>
      <c r="J545" s="104">
        <v>0.0</v>
      </c>
      <c r="K545" s="110" t="s">
        <v>1490</v>
      </c>
      <c r="L545" s="110" t="s">
        <v>1491</v>
      </c>
    </row>
    <row r="546">
      <c r="A546" s="110" t="s">
        <v>1215</v>
      </c>
      <c r="B546" s="104">
        <v>0.0</v>
      </c>
      <c r="C546" s="110" t="s">
        <v>266</v>
      </c>
      <c r="D546" s="110" t="s">
        <v>201</v>
      </c>
      <c r="E546" s="104">
        <v>0.0</v>
      </c>
      <c r="F546" s="104">
        <v>9.5</v>
      </c>
      <c r="G546" s="110" t="s">
        <v>268</v>
      </c>
      <c r="H546" s="112">
        <v>45930.0</v>
      </c>
      <c r="I546" s="104">
        <v>0.0</v>
      </c>
      <c r="J546" s="104">
        <v>0.0</v>
      </c>
      <c r="K546" s="110" t="s">
        <v>1492</v>
      </c>
      <c r="L546" s="110" t="s">
        <v>1493</v>
      </c>
    </row>
    <row r="547">
      <c r="A547" s="110" t="s">
        <v>1217</v>
      </c>
      <c r="B547" s="104">
        <v>0.0</v>
      </c>
      <c r="C547" s="110" t="s">
        <v>209</v>
      </c>
      <c r="D547" s="110" t="s">
        <v>217</v>
      </c>
      <c r="E547" s="104">
        <v>0.0</v>
      </c>
      <c r="F547" s="104">
        <v>0.0</v>
      </c>
      <c r="G547" s="104">
        <v>0.0</v>
      </c>
      <c r="H547" s="104" t="s">
        <v>232</v>
      </c>
      <c r="I547" s="104">
        <v>0.0</v>
      </c>
      <c r="J547" s="104">
        <v>0.0</v>
      </c>
      <c r="K547" s="110" t="s">
        <v>1494</v>
      </c>
      <c r="L547" s="110" t="s">
        <v>1495</v>
      </c>
    </row>
    <row r="548">
      <c r="A548" s="110" t="s">
        <v>1218</v>
      </c>
      <c r="B548" s="110" t="s">
        <v>1218</v>
      </c>
      <c r="C548" s="110" t="s">
        <v>1496</v>
      </c>
      <c r="D548" s="110" t="s">
        <v>267</v>
      </c>
      <c r="E548" s="104">
        <v>0.0</v>
      </c>
      <c r="F548" s="104">
        <v>0.0</v>
      </c>
      <c r="G548" s="104">
        <v>0.0</v>
      </c>
      <c r="H548" s="104" t="s">
        <v>232</v>
      </c>
      <c r="I548" s="104">
        <v>0.0</v>
      </c>
      <c r="J548" s="104">
        <v>0.0</v>
      </c>
      <c r="K548" s="110" t="s">
        <v>1497</v>
      </c>
      <c r="L548" s="110" t="s">
        <v>1498</v>
      </c>
    </row>
    <row r="549">
      <c r="A549" s="110" t="s">
        <v>1221</v>
      </c>
      <c r="B549" s="110" t="s">
        <v>1221</v>
      </c>
      <c r="C549" s="110" t="s">
        <v>405</v>
      </c>
      <c r="D549" s="110" t="s">
        <v>210</v>
      </c>
      <c r="E549" s="104">
        <v>0.0</v>
      </c>
      <c r="F549" s="104">
        <v>204.0</v>
      </c>
      <c r="G549" s="110" t="s">
        <v>211</v>
      </c>
      <c r="H549" s="112">
        <v>44887.0</v>
      </c>
      <c r="I549" s="104">
        <v>0.0</v>
      </c>
      <c r="J549" s="104">
        <v>0.0</v>
      </c>
      <c r="K549" s="110" t="s">
        <v>1499</v>
      </c>
      <c r="L549" s="110" t="s">
        <v>1500</v>
      </c>
    </row>
    <row r="550">
      <c r="A550" s="110" t="s">
        <v>1223</v>
      </c>
      <c r="B550" s="104">
        <v>0.0</v>
      </c>
      <c r="C550" s="110" t="s">
        <v>266</v>
      </c>
      <c r="D550" s="110" t="s">
        <v>217</v>
      </c>
      <c r="E550" s="104">
        <v>0.0</v>
      </c>
      <c r="F550" s="104">
        <v>9.9</v>
      </c>
      <c r="G550" s="110" t="s">
        <v>268</v>
      </c>
      <c r="H550" s="112">
        <v>45930.0</v>
      </c>
      <c r="I550" s="104">
        <v>0.0</v>
      </c>
      <c r="J550" s="104">
        <v>0.0</v>
      </c>
      <c r="K550" s="110" t="s">
        <v>1501</v>
      </c>
      <c r="L550" s="110" t="s">
        <v>1502</v>
      </c>
    </row>
    <row r="551">
      <c r="A551" s="110" t="s">
        <v>1223</v>
      </c>
      <c r="B551" s="104">
        <v>0.0</v>
      </c>
      <c r="C551" s="110" t="s">
        <v>317</v>
      </c>
      <c r="D551" s="110" t="s">
        <v>217</v>
      </c>
      <c r="E551" s="104">
        <v>0.0</v>
      </c>
      <c r="F551" s="104">
        <v>10.0</v>
      </c>
      <c r="G551" s="104">
        <v>0.0</v>
      </c>
      <c r="H551" s="112">
        <v>45874.0</v>
      </c>
      <c r="I551" s="104">
        <v>0.0</v>
      </c>
      <c r="J551" s="104">
        <v>0.0</v>
      </c>
      <c r="K551" s="110" t="s">
        <v>1503</v>
      </c>
      <c r="L551" s="110" t="s">
        <v>1504</v>
      </c>
    </row>
    <row r="552">
      <c r="A552" s="110" t="s">
        <v>1223</v>
      </c>
      <c r="B552" s="104">
        <v>0.0</v>
      </c>
      <c r="C552" s="110" t="s">
        <v>337</v>
      </c>
      <c r="D552" s="110" t="s">
        <v>217</v>
      </c>
      <c r="E552" s="104">
        <v>0.0</v>
      </c>
      <c r="F552" s="104">
        <v>17.5</v>
      </c>
      <c r="G552" s="110" t="s">
        <v>238</v>
      </c>
      <c r="H552" s="112">
        <v>45603.0</v>
      </c>
      <c r="I552" s="104">
        <v>0.0</v>
      </c>
      <c r="J552" s="104">
        <v>0.0</v>
      </c>
      <c r="K552" s="110" t="s">
        <v>1505</v>
      </c>
      <c r="L552" s="110" t="s">
        <v>1506</v>
      </c>
    </row>
    <row r="553">
      <c r="A553" s="110" t="s">
        <v>1223</v>
      </c>
      <c r="B553" s="104">
        <v>0.0</v>
      </c>
      <c r="C553" s="110" t="s">
        <v>386</v>
      </c>
      <c r="D553" s="110" t="s">
        <v>217</v>
      </c>
      <c r="E553" s="104">
        <v>0.0</v>
      </c>
      <c r="F553" s="104">
        <v>25.0</v>
      </c>
      <c r="G553" s="110" t="s">
        <v>238</v>
      </c>
      <c r="H553" s="112">
        <v>45534.0</v>
      </c>
      <c r="I553" s="104">
        <v>0.0</v>
      </c>
      <c r="J553" s="104">
        <v>0.0</v>
      </c>
      <c r="K553" s="110" t="s">
        <v>1507</v>
      </c>
      <c r="L553" s="110" t="s">
        <v>1508</v>
      </c>
    </row>
    <row r="554">
      <c r="A554" s="110" t="s">
        <v>1223</v>
      </c>
      <c r="B554" s="104">
        <v>0.0</v>
      </c>
      <c r="C554" s="110" t="s">
        <v>209</v>
      </c>
      <c r="D554" s="110" t="s">
        <v>217</v>
      </c>
      <c r="E554" s="104">
        <v>0.0</v>
      </c>
      <c r="F554" s="104">
        <v>0.0</v>
      </c>
      <c r="G554" s="104">
        <v>0.0</v>
      </c>
      <c r="H554" s="104" t="s">
        <v>232</v>
      </c>
      <c r="I554" s="104">
        <v>0.0</v>
      </c>
      <c r="J554" s="104">
        <v>0.0</v>
      </c>
      <c r="K554" s="110" t="s">
        <v>1509</v>
      </c>
      <c r="L554" s="110" t="s">
        <v>1510</v>
      </c>
    </row>
    <row r="555">
      <c r="A555" s="110" t="s">
        <v>1226</v>
      </c>
      <c r="B555" s="104">
        <v>0.0</v>
      </c>
      <c r="C555" s="110" t="s">
        <v>331</v>
      </c>
      <c r="D555" s="110" t="s">
        <v>217</v>
      </c>
      <c r="E555" s="104">
        <v>0.0</v>
      </c>
      <c r="F555" s="104">
        <v>10.0</v>
      </c>
      <c r="G555" s="110" t="s">
        <v>238</v>
      </c>
      <c r="H555" s="112">
        <v>45986.0</v>
      </c>
      <c r="I555" s="110" t="s">
        <v>1226</v>
      </c>
      <c r="J555" s="104">
        <v>0.0</v>
      </c>
      <c r="K555" s="110" t="s">
        <v>1511</v>
      </c>
      <c r="L555" s="110" t="s">
        <v>1512</v>
      </c>
    </row>
    <row r="556">
      <c r="A556" s="110" t="s">
        <v>1228</v>
      </c>
      <c r="B556" s="104">
        <v>0.0</v>
      </c>
      <c r="C556" s="110" t="s">
        <v>344</v>
      </c>
      <c r="D556" s="110" t="s">
        <v>210</v>
      </c>
      <c r="E556" s="104">
        <v>0.0</v>
      </c>
      <c r="F556" s="104">
        <v>6.5</v>
      </c>
      <c r="G556" s="110" t="s">
        <v>345</v>
      </c>
      <c r="H556" s="112">
        <v>45854.0</v>
      </c>
      <c r="I556" s="110" t="s">
        <v>1228</v>
      </c>
      <c r="J556" s="104">
        <v>0.0</v>
      </c>
      <c r="K556" s="110" t="s">
        <v>1513</v>
      </c>
      <c r="L556" s="110" t="s">
        <v>1514</v>
      </c>
    </row>
    <row r="557">
      <c r="A557" s="110" t="s">
        <v>1230</v>
      </c>
      <c r="B557" s="104">
        <v>0.0</v>
      </c>
      <c r="C557" s="110" t="s">
        <v>337</v>
      </c>
      <c r="D557" s="110" t="s">
        <v>217</v>
      </c>
      <c r="E557" s="104">
        <v>0.0</v>
      </c>
      <c r="F557" s="104">
        <v>15.0</v>
      </c>
      <c r="G557" s="110" t="s">
        <v>218</v>
      </c>
      <c r="H557" s="112">
        <v>45618.0</v>
      </c>
      <c r="I557" s="104">
        <v>0.0</v>
      </c>
      <c r="J557" s="104">
        <v>0.0</v>
      </c>
      <c r="K557" s="110" t="s">
        <v>1515</v>
      </c>
      <c r="L557" s="110" t="s">
        <v>1516</v>
      </c>
    </row>
    <row r="558">
      <c r="A558" s="110" t="s">
        <v>1232</v>
      </c>
      <c r="B558" s="104">
        <v>0.0</v>
      </c>
      <c r="C558" s="110" t="s">
        <v>256</v>
      </c>
      <c r="D558" s="110" t="s">
        <v>217</v>
      </c>
      <c r="E558" s="104">
        <v>0.0</v>
      </c>
      <c r="F558" s="104">
        <v>30.89</v>
      </c>
      <c r="G558" s="110" t="s">
        <v>1517</v>
      </c>
      <c r="H558" s="112">
        <v>45828.0</v>
      </c>
      <c r="I558" s="110" t="s">
        <v>1518</v>
      </c>
      <c r="J558" s="104">
        <v>0.0</v>
      </c>
      <c r="K558" s="110" t="s">
        <v>1519</v>
      </c>
      <c r="L558" s="110" t="s">
        <v>1516</v>
      </c>
    </row>
    <row r="559">
      <c r="A559" s="110" t="s">
        <v>1232</v>
      </c>
      <c r="B559" s="104">
        <v>0.0</v>
      </c>
      <c r="C559" s="110" t="s">
        <v>256</v>
      </c>
      <c r="D559" s="110" t="s">
        <v>217</v>
      </c>
      <c r="E559" s="104">
        <v>0.0</v>
      </c>
      <c r="F559" s="104">
        <v>25.38</v>
      </c>
      <c r="G559" s="110" t="s">
        <v>1520</v>
      </c>
      <c r="H559" s="112">
        <v>45828.0</v>
      </c>
      <c r="I559" s="110" t="s">
        <v>1518</v>
      </c>
      <c r="J559" s="104">
        <v>0.0</v>
      </c>
      <c r="K559" s="110" t="s">
        <v>1519</v>
      </c>
      <c r="L559" s="110" t="s">
        <v>1521</v>
      </c>
    </row>
    <row r="560">
      <c r="A560" s="110" t="s">
        <v>1232</v>
      </c>
      <c r="B560" s="104">
        <v>0.0</v>
      </c>
      <c r="C560" s="110" t="s">
        <v>256</v>
      </c>
      <c r="D560" s="110" t="s">
        <v>217</v>
      </c>
      <c r="E560" s="104">
        <v>0.0</v>
      </c>
      <c r="F560" s="104">
        <v>19.86</v>
      </c>
      <c r="G560" s="110" t="s">
        <v>1522</v>
      </c>
      <c r="H560" s="112">
        <v>45828.0</v>
      </c>
      <c r="I560" s="110" t="s">
        <v>1518</v>
      </c>
      <c r="J560" s="104">
        <v>0.0</v>
      </c>
      <c r="K560" s="110" t="s">
        <v>1519</v>
      </c>
      <c r="L560" s="110" t="s">
        <v>1523</v>
      </c>
    </row>
    <row r="561">
      <c r="A561" s="110" t="s">
        <v>1234</v>
      </c>
      <c r="B561" s="110" t="s">
        <v>1234</v>
      </c>
      <c r="C561" s="110" t="s">
        <v>1094</v>
      </c>
      <c r="D561" s="110" t="s">
        <v>217</v>
      </c>
      <c r="E561" s="104">
        <v>0.0</v>
      </c>
      <c r="F561" s="104">
        <v>0.0</v>
      </c>
      <c r="G561" s="104">
        <v>0.0</v>
      </c>
      <c r="H561" s="104" t="s">
        <v>232</v>
      </c>
      <c r="I561" s="104">
        <v>0.0</v>
      </c>
      <c r="J561" s="104">
        <v>0.0</v>
      </c>
      <c r="K561" s="110" t="s">
        <v>1524</v>
      </c>
      <c r="L561" s="110" t="s">
        <v>1525</v>
      </c>
    </row>
    <row r="562">
      <c r="A562" s="110" t="s">
        <v>1236</v>
      </c>
      <c r="B562" s="104">
        <v>0.0</v>
      </c>
      <c r="C562" s="110" t="s">
        <v>247</v>
      </c>
      <c r="D562" s="110" t="s">
        <v>210</v>
      </c>
      <c r="E562" s="104">
        <v>0.0</v>
      </c>
      <c r="F562" s="104">
        <v>0.0</v>
      </c>
      <c r="G562" s="104">
        <v>0.0</v>
      </c>
      <c r="H562" s="104" t="s">
        <v>232</v>
      </c>
      <c r="I562" s="104">
        <v>0.0</v>
      </c>
      <c r="J562" s="104">
        <v>0.0</v>
      </c>
      <c r="K562" s="110" t="s">
        <v>1526</v>
      </c>
      <c r="L562" s="110" t="s">
        <v>1527</v>
      </c>
    </row>
    <row r="563">
      <c r="A563" s="110" t="s">
        <v>1238</v>
      </c>
      <c r="B563" s="104">
        <v>0.0</v>
      </c>
      <c r="C563" s="110" t="s">
        <v>925</v>
      </c>
      <c r="D563" s="110" t="s">
        <v>210</v>
      </c>
      <c r="E563" s="104">
        <v>0.0</v>
      </c>
      <c r="F563" s="104">
        <v>10.0</v>
      </c>
      <c r="G563" s="110" t="s">
        <v>238</v>
      </c>
      <c r="H563" s="112">
        <v>45980.0</v>
      </c>
      <c r="I563" s="110" t="s">
        <v>1238</v>
      </c>
      <c r="J563" s="104">
        <v>0.0</v>
      </c>
      <c r="K563" s="110" t="s">
        <v>1528</v>
      </c>
      <c r="L563" s="110" t="s">
        <v>1529</v>
      </c>
    </row>
    <row r="564">
      <c r="A564" s="110" t="s">
        <v>1240</v>
      </c>
      <c r="B564" s="110" t="s">
        <v>1240</v>
      </c>
      <c r="C564" s="110" t="s">
        <v>375</v>
      </c>
      <c r="D564" s="110" t="s">
        <v>210</v>
      </c>
      <c r="E564" s="104">
        <v>0.0</v>
      </c>
      <c r="F564" s="104">
        <v>74.0</v>
      </c>
      <c r="G564" s="110" t="s">
        <v>238</v>
      </c>
      <c r="H564" s="112">
        <v>45777.0</v>
      </c>
      <c r="I564" s="104">
        <v>0.0</v>
      </c>
      <c r="J564" s="104">
        <v>0.0</v>
      </c>
      <c r="K564" s="110" t="s">
        <v>1530</v>
      </c>
      <c r="L564" s="110" t="s">
        <v>1531</v>
      </c>
    </row>
    <row r="565">
      <c r="A565" s="110" t="s">
        <v>1240</v>
      </c>
      <c r="B565" s="110" t="s">
        <v>1240</v>
      </c>
      <c r="C565" s="110" t="s">
        <v>375</v>
      </c>
      <c r="D565" s="110" t="s">
        <v>210</v>
      </c>
      <c r="E565" s="104">
        <v>0.0</v>
      </c>
      <c r="F565" s="104">
        <v>72.0</v>
      </c>
      <c r="G565" s="110" t="s">
        <v>334</v>
      </c>
      <c r="H565" s="112">
        <v>45777.0</v>
      </c>
      <c r="I565" s="104">
        <v>0.0</v>
      </c>
      <c r="J565" s="104">
        <v>0.0</v>
      </c>
      <c r="K565" s="110" t="s">
        <v>1530</v>
      </c>
      <c r="L565" s="110" t="s">
        <v>1532</v>
      </c>
    </row>
    <row r="566">
      <c r="A566" s="110" t="s">
        <v>1240</v>
      </c>
      <c r="B566" s="110" t="s">
        <v>1240</v>
      </c>
      <c r="C566" s="110" t="s">
        <v>375</v>
      </c>
      <c r="D566" s="110" t="s">
        <v>210</v>
      </c>
      <c r="E566" s="104">
        <v>0.0</v>
      </c>
      <c r="F566" s="104">
        <v>70.0</v>
      </c>
      <c r="G566" s="110" t="s">
        <v>373</v>
      </c>
      <c r="H566" s="112">
        <v>45777.0</v>
      </c>
      <c r="I566" s="104">
        <v>0.0</v>
      </c>
      <c r="J566" s="104">
        <v>0.0</v>
      </c>
      <c r="K566" s="110" t="s">
        <v>1530</v>
      </c>
      <c r="L566" s="110" t="s">
        <v>1533</v>
      </c>
    </row>
    <row r="567">
      <c r="A567" s="110" t="s">
        <v>1240</v>
      </c>
      <c r="B567" s="110" t="s">
        <v>1240</v>
      </c>
      <c r="C567" s="110" t="s">
        <v>375</v>
      </c>
      <c r="D567" s="110" t="s">
        <v>210</v>
      </c>
      <c r="E567" s="104">
        <v>0.0</v>
      </c>
      <c r="F567" s="104">
        <v>68.0</v>
      </c>
      <c r="G567" s="110" t="s">
        <v>268</v>
      </c>
      <c r="H567" s="112">
        <v>45777.0</v>
      </c>
      <c r="I567" s="104">
        <v>0.0</v>
      </c>
      <c r="J567" s="104">
        <v>0.0</v>
      </c>
      <c r="K567" s="110" t="s">
        <v>1530</v>
      </c>
      <c r="L567" s="110" t="s">
        <v>1534</v>
      </c>
    </row>
    <row r="568">
      <c r="A568" s="110" t="s">
        <v>1242</v>
      </c>
      <c r="B568" s="104">
        <v>0.0</v>
      </c>
      <c r="C568" s="110" t="s">
        <v>273</v>
      </c>
      <c r="D568" s="110" t="s">
        <v>217</v>
      </c>
      <c r="E568" s="104">
        <v>0.0</v>
      </c>
      <c r="F568" s="104">
        <v>7.11</v>
      </c>
      <c r="G568" s="110" t="s">
        <v>238</v>
      </c>
      <c r="H568" s="112">
        <v>45848.0</v>
      </c>
      <c r="I568" s="110" t="s">
        <v>1535</v>
      </c>
      <c r="J568" s="104">
        <v>0.0</v>
      </c>
      <c r="K568" s="110" t="s">
        <v>1536</v>
      </c>
      <c r="L568" s="110" t="s">
        <v>1537</v>
      </c>
    </row>
    <row r="569">
      <c r="A569" s="110" t="s">
        <v>1244</v>
      </c>
      <c r="B569" s="104">
        <v>0.0</v>
      </c>
      <c r="C569" s="110" t="s">
        <v>231</v>
      </c>
      <c r="D569" s="110" t="s">
        <v>217</v>
      </c>
      <c r="E569" s="104">
        <v>0.0</v>
      </c>
      <c r="F569" s="104">
        <v>0.0</v>
      </c>
      <c r="G569" s="104">
        <v>0.0</v>
      </c>
      <c r="H569" s="112">
        <v>45874.0</v>
      </c>
      <c r="I569" s="110" t="s">
        <v>1244</v>
      </c>
      <c r="J569" s="104">
        <v>0.0</v>
      </c>
      <c r="K569" s="110" t="s">
        <v>1538</v>
      </c>
      <c r="L569" s="110" t="s">
        <v>1539</v>
      </c>
    </row>
    <row r="570">
      <c r="A570" s="110" t="s">
        <v>1246</v>
      </c>
      <c r="B570" s="104">
        <v>0.0</v>
      </c>
      <c r="C570" s="110" t="s">
        <v>535</v>
      </c>
      <c r="D570" s="110" t="s">
        <v>217</v>
      </c>
      <c r="E570" s="104">
        <v>0.0</v>
      </c>
      <c r="F570" s="104">
        <v>57.0</v>
      </c>
      <c r="G570" s="110" t="s">
        <v>238</v>
      </c>
      <c r="H570" s="112">
        <v>45838.0</v>
      </c>
      <c r="I570" s="104">
        <v>0.0</v>
      </c>
      <c r="J570" s="104">
        <v>0.0</v>
      </c>
      <c r="K570" s="110" t="s">
        <v>1540</v>
      </c>
      <c r="L570" s="110" t="s">
        <v>1541</v>
      </c>
    </row>
    <row r="571">
      <c r="A571" s="110" t="s">
        <v>1246</v>
      </c>
      <c r="B571" s="104">
        <v>0.0</v>
      </c>
      <c r="C571" s="110" t="s">
        <v>535</v>
      </c>
      <c r="D571" s="110" t="s">
        <v>217</v>
      </c>
      <c r="E571" s="104">
        <v>0.0</v>
      </c>
      <c r="F571" s="104">
        <v>48.5</v>
      </c>
      <c r="G571" s="110" t="s">
        <v>1542</v>
      </c>
      <c r="H571" s="112">
        <v>45838.0</v>
      </c>
      <c r="I571" s="104">
        <v>0.0</v>
      </c>
      <c r="J571" s="104">
        <v>0.0</v>
      </c>
      <c r="K571" s="110" t="s">
        <v>1540</v>
      </c>
      <c r="L571" s="110" t="s">
        <v>1543</v>
      </c>
    </row>
    <row r="572">
      <c r="A572" s="110" t="s">
        <v>1246</v>
      </c>
      <c r="B572" s="104">
        <v>0.0</v>
      </c>
      <c r="C572" s="110" t="s">
        <v>535</v>
      </c>
      <c r="D572" s="110" t="s">
        <v>217</v>
      </c>
      <c r="E572" s="104">
        <v>0.0</v>
      </c>
      <c r="F572" s="104">
        <v>42.0</v>
      </c>
      <c r="G572" s="110" t="s">
        <v>373</v>
      </c>
      <c r="H572" s="112">
        <v>45838.0</v>
      </c>
      <c r="I572" s="104">
        <v>0.0</v>
      </c>
      <c r="J572" s="104">
        <v>0.0</v>
      </c>
      <c r="K572" s="110" t="s">
        <v>1540</v>
      </c>
      <c r="L572" s="110" t="s">
        <v>1544</v>
      </c>
    </row>
    <row r="573">
      <c r="A573" s="110" t="s">
        <v>1248</v>
      </c>
      <c r="B573" s="104">
        <v>0.0</v>
      </c>
      <c r="C573" s="110" t="s">
        <v>1339</v>
      </c>
      <c r="D573" s="110" t="s">
        <v>217</v>
      </c>
      <c r="E573" s="104">
        <v>0.0</v>
      </c>
      <c r="F573" s="104">
        <v>1880.0</v>
      </c>
      <c r="G573" s="110" t="s">
        <v>211</v>
      </c>
      <c r="H573" s="112">
        <v>45877.0</v>
      </c>
      <c r="I573" s="110" t="s">
        <v>1248</v>
      </c>
      <c r="J573" s="104">
        <v>0.0</v>
      </c>
      <c r="K573" s="110" t="s">
        <v>1545</v>
      </c>
      <c r="L573" s="110" t="s">
        <v>1546</v>
      </c>
    </row>
    <row r="574">
      <c r="A574" s="110" t="s">
        <v>1250</v>
      </c>
      <c r="B574" s="104">
        <v>0.0</v>
      </c>
      <c r="C574" s="110" t="s">
        <v>317</v>
      </c>
      <c r="D574" s="110" t="s">
        <v>217</v>
      </c>
      <c r="E574" s="104">
        <v>0.0</v>
      </c>
      <c r="F574" s="104">
        <v>2200.0</v>
      </c>
      <c r="G574" s="104">
        <v>0.0</v>
      </c>
      <c r="H574" s="112">
        <v>45874.0</v>
      </c>
      <c r="I574" s="104">
        <v>0.0</v>
      </c>
      <c r="J574" s="104">
        <v>0.0</v>
      </c>
      <c r="K574" s="110" t="s">
        <v>1547</v>
      </c>
      <c r="L574" s="110" t="s">
        <v>1548</v>
      </c>
    </row>
    <row r="575">
      <c r="A575" s="110" t="s">
        <v>1252</v>
      </c>
      <c r="B575" s="110" t="s">
        <v>1549</v>
      </c>
      <c r="C575" s="110" t="s">
        <v>520</v>
      </c>
      <c r="D575" s="110" t="s">
        <v>217</v>
      </c>
      <c r="E575" s="104">
        <v>0.0</v>
      </c>
      <c r="F575" s="104">
        <v>825.0</v>
      </c>
      <c r="G575" s="110" t="s">
        <v>238</v>
      </c>
      <c r="H575" s="112">
        <v>45807.0</v>
      </c>
      <c r="I575" s="110" t="s">
        <v>1550</v>
      </c>
      <c r="J575" s="104">
        <v>0.0</v>
      </c>
      <c r="K575" s="110" t="s">
        <v>1551</v>
      </c>
      <c r="L575" s="110" t="s">
        <v>1552</v>
      </c>
    </row>
    <row r="576">
      <c r="A576" s="110" t="s">
        <v>1254</v>
      </c>
      <c r="B576" s="110" t="s">
        <v>1549</v>
      </c>
      <c r="C576" s="110" t="s">
        <v>520</v>
      </c>
      <c r="D576" s="110" t="s">
        <v>217</v>
      </c>
      <c r="E576" s="104">
        <v>0.0</v>
      </c>
      <c r="F576" s="104">
        <v>150.0</v>
      </c>
      <c r="G576" s="110" t="s">
        <v>238</v>
      </c>
      <c r="H576" s="112">
        <v>45807.0</v>
      </c>
      <c r="I576" s="110" t="s">
        <v>1550</v>
      </c>
      <c r="J576" s="104">
        <v>0.0</v>
      </c>
      <c r="K576" s="110" t="s">
        <v>1553</v>
      </c>
      <c r="L576" s="110" t="s">
        <v>1554</v>
      </c>
    </row>
    <row r="577">
      <c r="A577" s="110" t="s">
        <v>1259</v>
      </c>
      <c r="B577" s="110" t="s">
        <v>1549</v>
      </c>
      <c r="C577" s="110" t="s">
        <v>520</v>
      </c>
      <c r="D577" s="110" t="s">
        <v>217</v>
      </c>
      <c r="E577" s="104">
        <v>0.0</v>
      </c>
      <c r="F577" s="104">
        <v>70.0</v>
      </c>
      <c r="G577" s="110" t="s">
        <v>238</v>
      </c>
      <c r="H577" s="112">
        <v>45807.0</v>
      </c>
      <c r="I577" s="110" t="s">
        <v>1550</v>
      </c>
      <c r="J577" s="104">
        <v>0.0</v>
      </c>
      <c r="K577" s="110" t="s">
        <v>1555</v>
      </c>
      <c r="L577" s="110" t="s">
        <v>1556</v>
      </c>
    </row>
    <row r="578">
      <c r="A578" s="110" t="s">
        <v>1261</v>
      </c>
      <c r="B578" s="104">
        <v>0.0</v>
      </c>
      <c r="C578" s="110" t="s">
        <v>337</v>
      </c>
      <c r="D578" s="110" t="s">
        <v>210</v>
      </c>
      <c r="E578" s="104">
        <v>0.0</v>
      </c>
      <c r="F578" s="104">
        <v>19.5</v>
      </c>
      <c r="G578" s="110" t="s">
        <v>238</v>
      </c>
      <c r="H578" s="112">
        <v>45603.0</v>
      </c>
      <c r="I578" s="104">
        <v>0.0</v>
      </c>
      <c r="J578" s="104">
        <v>0.0</v>
      </c>
      <c r="K578" s="110" t="s">
        <v>1557</v>
      </c>
      <c r="L578" s="110" t="s">
        <v>1558</v>
      </c>
    </row>
    <row r="579">
      <c r="A579" s="110" t="s">
        <v>1263</v>
      </c>
      <c r="B579" s="104">
        <v>0.0</v>
      </c>
      <c r="C579" s="110" t="s">
        <v>1203</v>
      </c>
      <c r="D579" s="110" t="s">
        <v>217</v>
      </c>
      <c r="E579" s="104">
        <v>0.0</v>
      </c>
      <c r="F579" s="104">
        <v>28.5</v>
      </c>
      <c r="G579" s="110" t="s">
        <v>238</v>
      </c>
      <c r="H579" s="112">
        <v>45995.0</v>
      </c>
      <c r="I579" s="110" t="s">
        <v>1263</v>
      </c>
      <c r="J579" s="104">
        <v>0.0</v>
      </c>
      <c r="K579" s="110" t="s">
        <v>1559</v>
      </c>
      <c r="L579" s="110" t="s">
        <v>1560</v>
      </c>
    </row>
    <row r="580">
      <c r="A580" s="110" t="s">
        <v>1268</v>
      </c>
      <c r="B580" s="104">
        <v>0.0</v>
      </c>
      <c r="C580" s="110" t="s">
        <v>365</v>
      </c>
      <c r="D580" s="110" t="s">
        <v>217</v>
      </c>
      <c r="E580" s="104">
        <v>0.0</v>
      </c>
      <c r="F580" s="104">
        <v>0.0</v>
      </c>
      <c r="G580" s="104">
        <v>0.0</v>
      </c>
      <c r="H580" s="104" t="s">
        <v>232</v>
      </c>
      <c r="I580" s="104">
        <v>0.0</v>
      </c>
      <c r="J580" s="104">
        <v>0.0</v>
      </c>
      <c r="K580" s="110" t="s">
        <v>1561</v>
      </c>
      <c r="L580" s="110" t="s">
        <v>1562</v>
      </c>
    </row>
    <row r="581">
      <c r="A581" s="110" t="s">
        <v>1270</v>
      </c>
      <c r="B581" s="104">
        <v>0.0</v>
      </c>
      <c r="C581" s="110" t="s">
        <v>209</v>
      </c>
      <c r="D581" s="110" t="s">
        <v>217</v>
      </c>
      <c r="E581" s="104">
        <v>0.0</v>
      </c>
      <c r="F581" s="104">
        <v>0.0</v>
      </c>
      <c r="G581" s="104">
        <v>0.0</v>
      </c>
      <c r="H581" s="104" t="s">
        <v>232</v>
      </c>
      <c r="I581" s="104">
        <v>0.0</v>
      </c>
      <c r="J581" s="104">
        <v>0.0</v>
      </c>
      <c r="K581" s="110" t="s">
        <v>1563</v>
      </c>
      <c r="L581" s="110" t="s">
        <v>1564</v>
      </c>
    </row>
    <row r="582">
      <c r="A582" s="110" t="s">
        <v>1274</v>
      </c>
      <c r="B582" s="104">
        <v>0.0</v>
      </c>
      <c r="C582" s="110" t="s">
        <v>209</v>
      </c>
      <c r="D582" s="110" t="s">
        <v>217</v>
      </c>
      <c r="E582" s="104">
        <v>0.0</v>
      </c>
      <c r="F582" s="104">
        <v>0.0</v>
      </c>
      <c r="G582" s="104">
        <v>0.0</v>
      </c>
      <c r="H582" s="104" t="s">
        <v>232</v>
      </c>
      <c r="I582" s="104">
        <v>0.0</v>
      </c>
      <c r="J582" s="104">
        <v>0.0</v>
      </c>
      <c r="K582" s="110" t="s">
        <v>1565</v>
      </c>
      <c r="L582" s="110" t="s">
        <v>1566</v>
      </c>
    </row>
    <row r="583">
      <c r="A583" s="110" t="s">
        <v>1276</v>
      </c>
      <c r="B583" s="104">
        <v>0.0</v>
      </c>
      <c r="C583" s="110" t="s">
        <v>209</v>
      </c>
      <c r="D583" s="110" t="s">
        <v>217</v>
      </c>
      <c r="E583" s="104">
        <v>0.0</v>
      </c>
      <c r="F583" s="104">
        <v>11.0</v>
      </c>
      <c r="G583" s="110" t="s">
        <v>334</v>
      </c>
      <c r="H583" s="112">
        <v>45742.0</v>
      </c>
      <c r="I583" s="110" t="s">
        <v>1567</v>
      </c>
      <c r="J583" s="104">
        <v>0.0</v>
      </c>
      <c r="K583" s="110" t="s">
        <v>1568</v>
      </c>
      <c r="L583" s="110" t="s">
        <v>1569</v>
      </c>
    </row>
    <row r="584">
      <c r="A584" s="110" t="s">
        <v>1276</v>
      </c>
      <c r="B584" s="104">
        <v>0.0</v>
      </c>
      <c r="C584" s="110" t="s">
        <v>209</v>
      </c>
      <c r="D584" s="110" t="s">
        <v>217</v>
      </c>
      <c r="E584" s="104">
        <v>0.0</v>
      </c>
      <c r="F584" s="104">
        <v>11.5</v>
      </c>
      <c r="G584" s="110" t="s">
        <v>238</v>
      </c>
      <c r="H584" s="112">
        <v>45743.0</v>
      </c>
      <c r="I584" s="110" t="s">
        <v>1567</v>
      </c>
      <c r="J584" s="104">
        <v>0.0</v>
      </c>
      <c r="K584" s="110" t="s">
        <v>1568</v>
      </c>
      <c r="L584" s="110" t="s">
        <v>1570</v>
      </c>
    </row>
    <row r="585">
      <c r="A585" s="110" t="s">
        <v>1278</v>
      </c>
      <c r="B585" s="104">
        <v>0.0</v>
      </c>
      <c r="C585" s="110" t="s">
        <v>209</v>
      </c>
      <c r="D585" s="110" t="s">
        <v>217</v>
      </c>
      <c r="E585" s="104">
        <v>0.0</v>
      </c>
      <c r="F585" s="104">
        <v>0.0</v>
      </c>
      <c r="G585" s="104">
        <v>0.0</v>
      </c>
      <c r="H585" s="104" t="s">
        <v>232</v>
      </c>
      <c r="I585" s="104">
        <v>0.0</v>
      </c>
      <c r="J585" s="104">
        <v>0.0</v>
      </c>
      <c r="K585" s="110" t="s">
        <v>1571</v>
      </c>
      <c r="L585" s="110" t="s">
        <v>1572</v>
      </c>
    </row>
    <row r="586">
      <c r="A586" s="110" t="s">
        <v>1280</v>
      </c>
      <c r="B586" s="104">
        <v>0.0</v>
      </c>
      <c r="C586" s="110" t="s">
        <v>209</v>
      </c>
      <c r="D586" s="110" t="s">
        <v>217</v>
      </c>
      <c r="E586" s="104">
        <v>0.0</v>
      </c>
      <c r="F586" s="104">
        <v>0.0</v>
      </c>
      <c r="G586" s="104">
        <v>0.0</v>
      </c>
      <c r="H586" s="104" t="s">
        <v>232</v>
      </c>
      <c r="I586" s="104">
        <v>0.0</v>
      </c>
      <c r="J586" s="104">
        <v>0.0</v>
      </c>
      <c r="K586" s="110" t="s">
        <v>1573</v>
      </c>
      <c r="L586" s="110" t="s">
        <v>1574</v>
      </c>
    </row>
    <row r="587">
      <c r="A587" s="110" t="s">
        <v>1282</v>
      </c>
      <c r="B587" s="104">
        <v>0.0</v>
      </c>
      <c r="C587" s="110" t="s">
        <v>200</v>
      </c>
      <c r="D587" s="110" t="s">
        <v>217</v>
      </c>
      <c r="E587" s="104">
        <v>0.0</v>
      </c>
      <c r="F587" s="104">
        <v>11.75</v>
      </c>
      <c r="G587" s="104">
        <v>0.0</v>
      </c>
      <c r="H587" s="112">
        <v>45848.0</v>
      </c>
      <c r="I587" s="110" t="s">
        <v>1282</v>
      </c>
      <c r="J587" s="104">
        <v>0.0</v>
      </c>
      <c r="K587" s="110" t="s">
        <v>1575</v>
      </c>
      <c r="L587" s="110" t="s">
        <v>1576</v>
      </c>
    </row>
    <row r="588">
      <c r="A588" s="110" t="s">
        <v>1282</v>
      </c>
      <c r="B588" s="104">
        <v>0.0</v>
      </c>
      <c r="C588" s="110" t="s">
        <v>209</v>
      </c>
      <c r="D588" s="110" t="s">
        <v>217</v>
      </c>
      <c r="E588" s="104">
        <v>0.0</v>
      </c>
      <c r="F588" s="104">
        <v>6.5</v>
      </c>
      <c r="G588" s="110" t="s">
        <v>238</v>
      </c>
      <c r="H588" s="112">
        <v>45847.0</v>
      </c>
      <c r="I588" s="110" t="s">
        <v>1282</v>
      </c>
      <c r="J588" s="104">
        <v>0.0</v>
      </c>
      <c r="K588" s="110" t="s">
        <v>1577</v>
      </c>
      <c r="L588" s="110" t="s">
        <v>1578</v>
      </c>
    </row>
    <row r="589">
      <c r="A589" s="110" t="s">
        <v>1284</v>
      </c>
      <c r="B589" s="104">
        <v>0.0</v>
      </c>
      <c r="C589" s="110" t="s">
        <v>551</v>
      </c>
      <c r="D589" s="110" t="s">
        <v>552</v>
      </c>
      <c r="E589" s="104">
        <v>0.0</v>
      </c>
      <c r="F589" s="104">
        <v>32.42</v>
      </c>
      <c r="G589" s="104">
        <v>0.0</v>
      </c>
      <c r="H589" s="112">
        <v>45715.0</v>
      </c>
      <c r="I589" s="104">
        <v>0.0</v>
      </c>
      <c r="J589" s="104">
        <v>0.0</v>
      </c>
      <c r="K589" s="110" t="s">
        <v>1579</v>
      </c>
      <c r="L589" s="110" t="s">
        <v>1580</v>
      </c>
    </row>
    <row r="590">
      <c r="A590" s="110" t="s">
        <v>1286</v>
      </c>
      <c r="B590" s="104">
        <v>0.0</v>
      </c>
      <c r="C590" s="110" t="s">
        <v>209</v>
      </c>
      <c r="D590" s="110" t="s">
        <v>217</v>
      </c>
      <c r="E590" s="104">
        <v>0.0</v>
      </c>
      <c r="F590" s="104">
        <v>0.0</v>
      </c>
      <c r="G590" s="104">
        <v>0.0</v>
      </c>
      <c r="H590" s="104" t="s">
        <v>232</v>
      </c>
      <c r="I590" s="104">
        <v>0.0</v>
      </c>
      <c r="J590" s="104">
        <v>0.0</v>
      </c>
      <c r="K590" s="110" t="s">
        <v>1581</v>
      </c>
      <c r="L590" s="110" t="s">
        <v>1582</v>
      </c>
    </row>
    <row r="591">
      <c r="A591" s="110" t="s">
        <v>1289</v>
      </c>
      <c r="B591" s="104">
        <v>0.0</v>
      </c>
      <c r="C591" s="110" t="s">
        <v>344</v>
      </c>
      <c r="D591" s="110" t="s">
        <v>210</v>
      </c>
      <c r="E591" s="104">
        <v>0.0</v>
      </c>
      <c r="F591" s="104">
        <v>27.0</v>
      </c>
      <c r="G591" s="110" t="s">
        <v>345</v>
      </c>
      <c r="H591" s="112">
        <v>45854.0</v>
      </c>
      <c r="I591" s="110" t="s">
        <v>1289</v>
      </c>
      <c r="J591" s="104">
        <v>0.0</v>
      </c>
      <c r="K591" s="110" t="s">
        <v>1583</v>
      </c>
      <c r="L591" s="110" t="s">
        <v>1584</v>
      </c>
    </row>
    <row r="592">
      <c r="A592" s="110" t="s">
        <v>1291</v>
      </c>
      <c r="B592" s="104">
        <v>0.0</v>
      </c>
      <c r="C592" s="110" t="s">
        <v>317</v>
      </c>
      <c r="D592" s="110" t="s">
        <v>201</v>
      </c>
      <c r="E592" s="104">
        <v>0.0</v>
      </c>
      <c r="F592" s="104">
        <v>26.0</v>
      </c>
      <c r="G592" s="104">
        <v>0.0</v>
      </c>
      <c r="H592" s="112">
        <v>45874.0</v>
      </c>
      <c r="I592" s="104">
        <v>0.0</v>
      </c>
      <c r="J592" s="104">
        <v>0.0</v>
      </c>
      <c r="K592" s="110" t="s">
        <v>1585</v>
      </c>
      <c r="L592" s="110" t="s">
        <v>1586</v>
      </c>
    </row>
    <row r="593">
      <c r="A593" s="110" t="s">
        <v>1294</v>
      </c>
      <c r="B593" s="104">
        <v>0.0</v>
      </c>
      <c r="C593" s="110" t="s">
        <v>266</v>
      </c>
      <c r="D593" s="110" t="s">
        <v>267</v>
      </c>
      <c r="E593" s="104">
        <v>0.0</v>
      </c>
      <c r="F593" s="104">
        <v>24.0</v>
      </c>
      <c r="G593" s="110" t="s">
        <v>268</v>
      </c>
      <c r="H593" s="112">
        <v>45930.0</v>
      </c>
      <c r="I593" s="104">
        <v>0.0</v>
      </c>
      <c r="J593" s="104">
        <v>0.0</v>
      </c>
      <c r="K593" s="110" t="s">
        <v>1587</v>
      </c>
      <c r="L593" s="110" t="s">
        <v>1588</v>
      </c>
    </row>
    <row r="594">
      <c r="A594" s="110" t="s">
        <v>1294</v>
      </c>
      <c r="B594" s="104">
        <v>0.0</v>
      </c>
      <c r="C594" s="110" t="s">
        <v>209</v>
      </c>
      <c r="D594" s="110" t="s">
        <v>217</v>
      </c>
      <c r="E594" s="104">
        <v>0.0</v>
      </c>
      <c r="F594" s="104">
        <v>0.0</v>
      </c>
      <c r="G594" s="104">
        <v>0.0</v>
      </c>
      <c r="H594" s="104" t="s">
        <v>232</v>
      </c>
      <c r="I594" s="104">
        <v>0.0</v>
      </c>
      <c r="J594" s="104">
        <v>0.0</v>
      </c>
      <c r="K594" s="110" t="s">
        <v>1589</v>
      </c>
      <c r="L594" s="110" t="s">
        <v>1590</v>
      </c>
    </row>
    <row r="595">
      <c r="A595" s="110" t="s">
        <v>1297</v>
      </c>
      <c r="B595" s="104">
        <v>0.0</v>
      </c>
      <c r="C595" s="110" t="s">
        <v>209</v>
      </c>
      <c r="D595" s="110" t="s">
        <v>217</v>
      </c>
      <c r="E595" s="104">
        <v>0.0</v>
      </c>
      <c r="F595" s="104">
        <v>0.0</v>
      </c>
      <c r="G595" s="104">
        <v>0.0</v>
      </c>
      <c r="H595" s="104" t="s">
        <v>232</v>
      </c>
      <c r="I595" s="104">
        <v>0.0</v>
      </c>
      <c r="J595" s="104">
        <v>0.0</v>
      </c>
      <c r="K595" s="110" t="s">
        <v>1591</v>
      </c>
      <c r="L595" s="110" t="s">
        <v>1592</v>
      </c>
    </row>
    <row r="596">
      <c r="A596" s="110" t="s">
        <v>1299</v>
      </c>
      <c r="B596" s="104">
        <v>0.0</v>
      </c>
      <c r="C596" s="110" t="s">
        <v>266</v>
      </c>
      <c r="D596" s="110" t="s">
        <v>267</v>
      </c>
      <c r="E596" s="104">
        <v>0.0</v>
      </c>
      <c r="F596" s="104">
        <v>8.95</v>
      </c>
      <c r="G596" s="110" t="s">
        <v>268</v>
      </c>
      <c r="H596" s="112">
        <v>45930.0</v>
      </c>
      <c r="I596" s="104">
        <v>0.0</v>
      </c>
      <c r="J596" s="104">
        <v>0.0</v>
      </c>
      <c r="K596" s="110" t="s">
        <v>1593</v>
      </c>
      <c r="L596" s="110" t="s">
        <v>1594</v>
      </c>
    </row>
    <row r="597">
      <c r="A597" s="110" t="s">
        <v>1299</v>
      </c>
      <c r="B597" s="104">
        <v>0.0</v>
      </c>
      <c r="C597" s="110" t="s">
        <v>317</v>
      </c>
      <c r="D597" s="110" t="s">
        <v>201</v>
      </c>
      <c r="E597" s="104">
        <v>0.0</v>
      </c>
      <c r="F597" s="104">
        <v>11.5</v>
      </c>
      <c r="G597" s="104">
        <v>0.0</v>
      </c>
      <c r="H597" s="112">
        <v>45874.0</v>
      </c>
      <c r="I597" s="104">
        <v>0.0</v>
      </c>
      <c r="J597" s="104">
        <v>0.0</v>
      </c>
      <c r="K597" s="110" t="s">
        <v>1595</v>
      </c>
      <c r="L597" s="110" t="s">
        <v>1596</v>
      </c>
    </row>
    <row r="598">
      <c r="A598" s="110" t="s">
        <v>1299</v>
      </c>
      <c r="B598" s="104">
        <v>0.0</v>
      </c>
      <c r="C598" s="110" t="s">
        <v>365</v>
      </c>
      <c r="D598" s="110" t="s">
        <v>217</v>
      </c>
      <c r="E598" s="104">
        <v>0.0</v>
      </c>
      <c r="F598" s="104">
        <v>0.0</v>
      </c>
      <c r="G598" s="104">
        <v>0.0</v>
      </c>
      <c r="H598" s="104" t="s">
        <v>232</v>
      </c>
      <c r="I598" s="104">
        <v>0.0</v>
      </c>
      <c r="J598" s="104">
        <v>0.0</v>
      </c>
      <c r="K598" s="110" t="s">
        <v>1597</v>
      </c>
      <c r="L598" s="110" t="s">
        <v>1598</v>
      </c>
    </row>
    <row r="599">
      <c r="A599" s="110" t="s">
        <v>1299</v>
      </c>
      <c r="B599" s="104">
        <v>0.0</v>
      </c>
      <c r="C599" s="110" t="s">
        <v>365</v>
      </c>
      <c r="D599" s="110" t="s">
        <v>217</v>
      </c>
      <c r="E599" s="104">
        <v>0.0</v>
      </c>
      <c r="F599" s="104">
        <v>15.0</v>
      </c>
      <c r="G599" s="110" t="s">
        <v>238</v>
      </c>
      <c r="H599" s="112">
        <v>45806.0</v>
      </c>
      <c r="I599" s="104">
        <v>0.0</v>
      </c>
      <c r="J599" s="104">
        <v>0.0</v>
      </c>
      <c r="K599" s="110" t="s">
        <v>1597</v>
      </c>
      <c r="L599" s="110" t="s">
        <v>1599</v>
      </c>
    </row>
    <row r="600">
      <c r="A600" s="110" t="s">
        <v>1299</v>
      </c>
      <c r="B600" s="104">
        <v>0.0</v>
      </c>
      <c r="C600" s="110" t="s">
        <v>1255</v>
      </c>
      <c r="D600" s="110" t="s">
        <v>217</v>
      </c>
      <c r="E600" s="104">
        <v>0.0</v>
      </c>
      <c r="F600" s="104">
        <v>10.98</v>
      </c>
      <c r="G600" s="110" t="s">
        <v>218</v>
      </c>
      <c r="H600" s="112">
        <v>45807.0</v>
      </c>
      <c r="I600" s="104">
        <v>0.0</v>
      </c>
      <c r="J600" s="104">
        <v>0.0</v>
      </c>
      <c r="K600" s="110" t="s">
        <v>1600</v>
      </c>
      <c r="L600" s="110" t="s">
        <v>1601</v>
      </c>
    </row>
    <row r="601">
      <c r="A601" s="110" t="s">
        <v>1299</v>
      </c>
      <c r="B601" s="104">
        <v>0.0</v>
      </c>
      <c r="C601" s="110" t="s">
        <v>1602</v>
      </c>
      <c r="D601" s="110" t="s">
        <v>217</v>
      </c>
      <c r="E601" s="104">
        <v>0.0</v>
      </c>
      <c r="F601" s="104">
        <v>16.5</v>
      </c>
      <c r="G601" s="104">
        <v>0.0</v>
      </c>
      <c r="H601" s="112">
        <v>44734.0</v>
      </c>
      <c r="I601" s="104">
        <v>0.0</v>
      </c>
      <c r="J601" s="104">
        <v>0.0</v>
      </c>
      <c r="K601" s="110" t="s">
        <v>1603</v>
      </c>
      <c r="L601" s="110" t="s">
        <v>1604</v>
      </c>
    </row>
    <row r="602">
      <c r="A602" s="110" t="s">
        <v>1299</v>
      </c>
      <c r="B602" s="104">
        <v>0.0</v>
      </c>
      <c r="C602" s="110" t="s">
        <v>209</v>
      </c>
      <c r="D602" s="110" t="s">
        <v>217</v>
      </c>
      <c r="E602" s="104">
        <v>0.0</v>
      </c>
      <c r="F602" s="104">
        <v>10.5</v>
      </c>
      <c r="G602" s="110" t="s">
        <v>238</v>
      </c>
      <c r="H602" s="112">
        <v>45985.0</v>
      </c>
      <c r="I602" s="110" t="s">
        <v>1299</v>
      </c>
      <c r="J602" s="104">
        <v>0.0</v>
      </c>
      <c r="K602" s="110" t="s">
        <v>1605</v>
      </c>
      <c r="L602" s="110" t="s">
        <v>1606</v>
      </c>
    </row>
    <row r="603">
      <c r="A603" s="110" t="s">
        <v>1301</v>
      </c>
      <c r="B603" s="104">
        <v>0.0</v>
      </c>
      <c r="C603" s="110" t="s">
        <v>209</v>
      </c>
      <c r="D603" s="110" t="s">
        <v>217</v>
      </c>
      <c r="E603" s="104">
        <v>0.0</v>
      </c>
      <c r="F603" s="104">
        <v>0.0</v>
      </c>
      <c r="G603" s="104">
        <v>0.0</v>
      </c>
      <c r="H603" s="104" t="s">
        <v>232</v>
      </c>
      <c r="I603" s="104">
        <v>0.0</v>
      </c>
      <c r="J603" s="104">
        <v>0.0</v>
      </c>
      <c r="K603" s="110" t="s">
        <v>1607</v>
      </c>
      <c r="L603" s="110" t="s">
        <v>1608</v>
      </c>
    </row>
    <row r="604">
      <c r="A604" s="110" t="s">
        <v>1304</v>
      </c>
      <c r="B604" s="104">
        <v>0.0</v>
      </c>
      <c r="C604" s="110" t="s">
        <v>266</v>
      </c>
      <c r="D604" s="110" t="s">
        <v>267</v>
      </c>
      <c r="E604" s="104">
        <v>0.0</v>
      </c>
      <c r="F604" s="104">
        <v>7.95</v>
      </c>
      <c r="G604" s="110" t="s">
        <v>268</v>
      </c>
      <c r="H604" s="112">
        <v>45930.0</v>
      </c>
      <c r="I604" s="104">
        <v>0.0</v>
      </c>
      <c r="J604" s="104">
        <v>0.0</v>
      </c>
      <c r="K604" s="110" t="s">
        <v>1609</v>
      </c>
      <c r="L604" s="110" t="s">
        <v>1610</v>
      </c>
    </row>
    <row r="605">
      <c r="A605" s="110" t="s">
        <v>1308</v>
      </c>
      <c r="B605" s="104">
        <v>0.0</v>
      </c>
      <c r="C605" s="110" t="s">
        <v>317</v>
      </c>
      <c r="D605" s="110" t="s">
        <v>322</v>
      </c>
      <c r="E605" s="104">
        <v>0.0</v>
      </c>
      <c r="F605" s="104">
        <v>9.0</v>
      </c>
      <c r="G605" s="104">
        <v>0.0</v>
      </c>
      <c r="H605" s="112">
        <v>45874.0</v>
      </c>
      <c r="I605" s="104">
        <v>0.0</v>
      </c>
      <c r="J605" s="104">
        <v>0.0</v>
      </c>
      <c r="K605" s="110" t="s">
        <v>1611</v>
      </c>
      <c r="L605" s="110" t="s">
        <v>1612</v>
      </c>
    </row>
    <row r="606">
      <c r="A606" s="110" t="s">
        <v>1310</v>
      </c>
      <c r="B606" s="104">
        <v>0.0</v>
      </c>
      <c r="C606" s="110" t="s">
        <v>209</v>
      </c>
      <c r="D606" s="110" t="s">
        <v>217</v>
      </c>
      <c r="E606" s="104">
        <v>0.0</v>
      </c>
      <c r="F606" s="104">
        <v>0.0</v>
      </c>
      <c r="G606" s="104">
        <v>0.0</v>
      </c>
      <c r="H606" s="104" t="s">
        <v>232</v>
      </c>
      <c r="I606" s="104">
        <v>0.0</v>
      </c>
      <c r="J606" s="104">
        <v>0.0</v>
      </c>
      <c r="K606" s="110" t="s">
        <v>1613</v>
      </c>
      <c r="L606" s="110" t="s">
        <v>1614</v>
      </c>
    </row>
    <row r="607">
      <c r="A607" s="110" t="s">
        <v>1313</v>
      </c>
      <c r="B607" s="104">
        <v>0.0</v>
      </c>
      <c r="C607" s="110" t="s">
        <v>742</v>
      </c>
      <c r="D607" s="110" t="s">
        <v>210</v>
      </c>
      <c r="E607" s="104">
        <v>0.0</v>
      </c>
      <c r="F607" s="104">
        <v>6.42</v>
      </c>
      <c r="G607" s="110" t="s">
        <v>1615</v>
      </c>
      <c r="H607" s="112">
        <v>45854.0</v>
      </c>
      <c r="I607" s="110" t="s">
        <v>1616</v>
      </c>
      <c r="J607" s="104">
        <v>0.0</v>
      </c>
      <c r="K607" s="110" t="s">
        <v>1617</v>
      </c>
      <c r="L607" s="110" t="s">
        <v>1618</v>
      </c>
    </row>
    <row r="608">
      <c r="A608" s="110" t="s">
        <v>1313</v>
      </c>
      <c r="B608" s="104">
        <v>0.0</v>
      </c>
      <c r="C608" s="110" t="s">
        <v>742</v>
      </c>
      <c r="D608" s="110" t="s">
        <v>210</v>
      </c>
      <c r="E608" s="104">
        <v>0.0</v>
      </c>
      <c r="F608" s="104">
        <v>5.97</v>
      </c>
      <c r="G608" s="110" t="s">
        <v>1619</v>
      </c>
      <c r="H608" s="112">
        <v>45854.0</v>
      </c>
      <c r="I608" s="110" t="s">
        <v>1616</v>
      </c>
      <c r="J608" s="104">
        <v>0.0</v>
      </c>
      <c r="K608" s="110" t="s">
        <v>1617</v>
      </c>
      <c r="L608" s="110" t="s">
        <v>1620</v>
      </c>
    </row>
    <row r="609">
      <c r="A609" s="110" t="s">
        <v>1313</v>
      </c>
      <c r="B609" s="104">
        <v>0.0</v>
      </c>
      <c r="C609" s="110" t="s">
        <v>742</v>
      </c>
      <c r="D609" s="110" t="s">
        <v>210</v>
      </c>
      <c r="E609" s="104">
        <v>0.0</v>
      </c>
      <c r="F609" s="104">
        <v>5.75</v>
      </c>
      <c r="G609" s="110" t="s">
        <v>758</v>
      </c>
      <c r="H609" s="112">
        <v>45854.0</v>
      </c>
      <c r="I609" s="110" t="s">
        <v>1616</v>
      </c>
      <c r="J609" s="104">
        <v>0.0</v>
      </c>
      <c r="K609" s="110" t="s">
        <v>1617</v>
      </c>
      <c r="L609" s="110" t="s">
        <v>1621</v>
      </c>
    </row>
    <row r="610">
      <c r="A610" s="110" t="s">
        <v>1313</v>
      </c>
      <c r="B610" s="104">
        <v>0.0</v>
      </c>
      <c r="C610" s="110" t="s">
        <v>742</v>
      </c>
      <c r="D610" s="110" t="s">
        <v>210</v>
      </c>
      <c r="E610" s="104">
        <v>0.0</v>
      </c>
      <c r="F610" s="104">
        <v>5.64</v>
      </c>
      <c r="G610" s="110" t="s">
        <v>760</v>
      </c>
      <c r="H610" s="112">
        <v>45854.0</v>
      </c>
      <c r="I610" s="110" t="s">
        <v>1616</v>
      </c>
      <c r="J610" s="104">
        <v>0.0</v>
      </c>
      <c r="K610" s="110" t="s">
        <v>1617</v>
      </c>
      <c r="L610" s="110" t="s">
        <v>1622</v>
      </c>
    </row>
    <row r="611">
      <c r="A611" s="110" t="s">
        <v>1313</v>
      </c>
      <c r="B611" s="104">
        <v>0.0</v>
      </c>
      <c r="C611" s="110" t="s">
        <v>742</v>
      </c>
      <c r="D611" s="110" t="s">
        <v>210</v>
      </c>
      <c r="E611" s="104">
        <v>0.0</v>
      </c>
      <c r="F611" s="104">
        <v>4.81</v>
      </c>
      <c r="G611" s="110" t="s">
        <v>1623</v>
      </c>
      <c r="H611" s="112">
        <v>45854.0</v>
      </c>
      <c r="I611" s="110" t="s">
        <v>1616</v>
      </c>
      <c r="J611" s="104">
        <v>0.0</v>
      </c>
      <c r="K611" s="110" t="s">
        <v>1617</v>
      </c>
      <c r="L611" s="110" t="s">
        <v>1624</v>
      </c>
    </row>
    <row r="612">
      <c r="A612" s="110" t="s">
        <v>1313</v>
      </c>
      <c r="B612" s="104">
        <v>0.0</v>
      </c>
      <c r="C612" s="110" t="s">
        <v>742</v>
      </c>
      <c r="D612" s="110" t="s">
        <v>210</v>
      </c>
      <c r="E612" s="104">
        <v>0.0</v>
      </c>
      <c r="F612" s="104">
        <v>4.7</v>
      </c>
      <c r="G612" s="110" t="s">
        <v>1625</v>
      </c>
      <c r="H612" s="112">
        <v>45854.0</v>
      </c>
      <c r="I612" s="110" t="s">
        <v>1616</v>
      </c>
      <c r="J612" s="104">
        <v>0.0</v>
      </c>
      <c r="K612" s="110" t="s">
        <v>1617</v>
      </c>
      <c r="L612" s="110" t="s">
        <v>1626</v>
      </c>
    </row>
    <row r="613">
      <c r="A613" s="110" t="s">
        <v>1313</v>
      </c>
      <c r="B613" s="104">
        <v>0.0</v>
      </c>
      <c r="C613" s="110" t="s">
        <v>742</v>
      </c>
      <c r="D613" s="110" t="s">
        <v>210</v>
      </c>
      <c r="E613" s="104">
        <v>0.0</v>
      </c>
      <c r="F613" s="104">
        <v>32.52</v>
      </c>
      <c r="G613" s="110" t="s">
        <v>1627</v>
      </c>
      <c r="H613" s="112">
        <v>45854.0</v>
      </c>
      <c r="I613" s="110" t="s">
        <v>1616</v>
      </c>
      <c r="J613" s="104">
        <v>0.0</v>
      </c>
      <c r="K613" s="110" t="s">
        <v>1617</v>
      </c>
      <c r="L613" s="110" t="s">
        <v>1628</v>
      </c>
    </row>
    <row r="614">
      <c r="A614" s="110" t="s">
        <v>1316</v>
      </c>
      <c r="B614" s="104">
        <v>0.0</v>
      </c>
      <c r="C614" s="110" t="s">
        <v>551</v>
      </c>
      <c r="D614" s="110" t="s">
        <v>552</v>
      </c>
      <c r="E614" s="104">
        <v>0.0</v>
      </c>
      <c r="F614" s="104">
        <v>9.82</v>
      </c>
      <c r="G614" s="104">
        <v>45.36</v>
      </c>
      <c r="H614" s="112">
        <v>45884.0</v>
      </c>
      <c r="I614" s="110" t="s">
        <v>1316</v>
      </c>
      <c r="J614" s="104">
        <v>0.0</v>
      </c>
      <c r="K614" s="110" t="s">
        <v>1629</v>
      </c>
      <c r="L614" s="110" t="s">
        <v>1630</v>
      </c>
    </row>
    <row r="615">
      <c r="A615" s="110" t="s">
        <v>1318</v>
      </c>
      <c r="B615" s="104">
        <v>0.0</v>
      </c>
      <c r="C615" s="110" t="s">
        <v>551</v>
      </c>
      <c r="D615" s="110" t="s">
        <v>1631</v>
      </c>
      <c r="E615" s="104">
        <v>0.0</v>
      </c>
      <c r="F615" s="104">
        <v>37.27</v>
      </c>
      <c r="G615" s="104">
        <v>0.0</v>
      </c>
      <c r="H615" s="112">
        <v>45748.0</v>
      </c>
      <c r="I615" s="110" t="s">
        <v>1318</v>
      </c>
      <c r="J615" s="104">
        <v>0.0</v>
      </c>
      <c r="K615" s="110" t="s">
        <v>1632</v>
      </c>
      <c r="L615" s="110" t="s">
        <v>1633</v>
      </c>
    </row>
    <row r="616">
      <c r="A616" s="110" t="s">
        <v>1320</v>
      </c>
      <c r="B616" s="104">
        <v>0.0</v>
      </c>
      <c r="C616" s="110" t="s">
        <v>1634</v>
      </c>
      <c r="D616" s="110" t="s">
        <v>544</v>
      </c>
      <c r="E616" s="104">
        <v>0.0</v>
      </c>
      <c r="F616" s="104">
        <v>89.0</v>
      </c>
      <c r="G616" s="110" t="s">
        <v>238</v>
      </c>
      <c r="H616" s="112">
        <v>45966.0</v>
      </c>
      <c r="I616" s="110" t="s">
        <v>1320</v>
      </c>
      <c r="J616" s="104">
        <v>0.0</v>
      </c>
      <c r="K616" s="110" t="s">
        <v>1635</v>
      </c>
      <c r="L616" s="110" t="s">
        <v>1636</v>
      </c>
    </row>
    <row r="617">
      <c r="A617" s="110" t="s">
        <v>1322</v>
      </c>
      <c r="B617" s="104">
        <v>0.0</v>
      </c>
      <c r="C617" s="110" t="s">
        <v>317</v>
      </c>
      <c r="D617" s="110" t="s">
        <v>217</v>
      </c>
      <c r="E617" s="104">
        <v>0.0</v>
      </c>
      <c r="F617" s="104">
        <v>1100.0</v>
      </c>
      <c r="G617" s="104">
        <v>0.0</v>
      </c>
      <c r="H617" s="112">
        <v>45874.0</v>
      </c>
      <c r="I617" s="104">
        <v>0.0</v>
      </c>
      <c r="J617" s="104">
        <v>0.0</v>
      </c>
      <c r="K617" s="110" t="s">
        <v>1637</v>
      </c>
      <c r="L617" s="110" t="s">
        <v>1638</v>
      </c>
    </row>
    <row r="618">
      <c r="A618" s="110" t="s">
        <v>1324</v>
      </c>
      <c r="B618" s="110" t="s">
        <v>1324</v>
      </c>
      <c r="C618" s="110" t="s">
        <v>280</v>
      </c>
      <c r="D618" s="110" t="s">
        <v>217</v>
      </c>
      <c r="E618" s="104">
        <v>0.0</v>
      </c>
      <c r="F618" s="104">
        <v>0.0</v>
      </c>
      <c r="G618" s="104">
        <v>0.0</v>
      </c>
      <c r="H618" s="104" t="s">
        <v>232</v>
      </c>
      <c r="I618" s="104">
        <v>0.0</v>
      </c>
      <c r="J618" s="104">
        <v>0.0</v>
      </c>
      <c r="K618" s="110" t="s">
        <v>1639</v>
      </c>
      <c r="L618" s="110" t="s">
        <v>1640</v>
      </c>
    </row>
    <row r="619">
      <c r="A619" s="110" t="s">
        <v>1326</v>
      </c>
      <c r="B619" s="104">
        <v>0.0</v>
      </c>
      <c r="C619" s="110" t="s">
        <v>266</v>
      </c>
      <c r="D619" s="110" t="s">
        <v>201</v>
      </c>
      <c r="E619" s="104">
        <v>0.0</v>
      </c>
      <c r="F619" s="104">
        <v>9.5</v>
      </c>
      <c r="G619" s="110" t="s">
        <v>268</v>
      </c>
      <c r="H619" s="112">
        <v>45930.0</v>
      </c>
      <c r="I619" s="104">
        <v>0.0</v>
      </c>
      <c r="J619" s="104">
        <v>0.0</v>
      </c>
      <c r="K619" s="110" t="s">
        <v>1641</v>
      </c>
      <c r="L619" s="110" t="s">
        <v>1642</v>
      </c>
    </row>
    <row r="620">
      <c r="A620" s="110" t="s">
        <v>1326</v>
      </c>
      <c r="B620" s="104">
        <v>0.0</v>
      </c>
      <c r="C620" s="110" t="s">
        <v>317</v>
      </c>
      <c r="D620" s="110" t="s">
        <v>201</v>
      </c>
      <c r="E620" s="104">
        <v>0.0</v>
      </c>
      <c r="F620" s="104">
        <v>13.0</v>
      </c>
      <c r="G620" s="104">
        <v>0.0</v>
      </c>
      <c r="H620" s="112">
        <v>45874.0</v>
      </c>
      <c r="I620" s="104">
        <v>0.0</v>
      </c>
      <c r="J620" s="104">
        <v>0.0</v>
      </c>
      <c r="K620" s="110" t="s">
        <v>1643</v>
      </c>
      <c r="L620" s="110" t="s">
        <v>1644</v>
      </c>
    </row>
    <row r="621">
      <c r="A621" s="110" t="s">
        <v>1326</v>
      </c>
      <c r="B621" s="104">
        <v>0.0</v>
      </c>
      <c r="C621" s="110" t="s">
        <v>200</v>
      </c>
      <c r="D621" s="110" t="s">
        <v>217</v>
      </c>
      <c r="E621" s="104">
        <v>0.0</v>
      </c>
      <c r="F621" s="104">
        <v>9.85</v>
      </c>
      <c r="G621" s="110" t="s">
        <v>238</v>
      </c>
      <c r="H621" s="112">
        <v>45868.0</v>
      </c>
      <c r="I621" s="110" t="s">
        <v>1326</v>
      </c>
      <c r="J621" s="104">
        <v>0.0</v>
      </c>
      <c r="K621" s="110" t="s">
        <v>1645</v>
      </c>
      <c r="L621" s="110" t="s">
        <v>1646</v>
      </c>
    </row>
    <row r="622">
      <c r="A622" s="110" t="s">
        <v>1326</v>
      </c>
      <c r="B622" s="104">
        <v>0.0</v>
      </c>
      <c r="C622" s="110" t="s">
        <v>386</v>
      </c>
      <c r="D622" s="110" t="s">
        <v>217</v>
      </c>
      <c r="E622" s="104">
        <v>0.0</v>
      </c>
      <c r="F622" s="104">
        <v>14.0</v>
      </c>
      <c r="G622" s="110" t="s">
        <v>238</v>
      </c>
      <c r="H622" s="112">
        <v>45603.0</v>
      </c>
      <c r="I622" s="104">
        <v>0.0</v>
      </c>
      <c r="J622" s="104">
        <v>0.0</v>
      </c>
      <c r="K622" s="110" t="s">
        <v>1647</v>
      </c>
      <c r="L622" s="110" t="s">
        <v>1648</v>
      </c>
    </row>
    <row r="623">
      <c r="A623" s="110" t="s">
        <v>1326</v>
      </c>
      <c r="B623" s="104">
        <v>0.0</v>
      </c>
      <c r="C623" s="110" t="s">
        <v>209</v>
      </c>
      <c r="D623" s="110" t="s">
        <v>217</v>
      </c>
      <c r="E623" s="104">
        <v>0.0</v>
      </c>
      <c r="F623" s="104">
        <v>0.0</v>
      </c>
      <c r="G623" s="104">
        <v>0.0</v>
      </c>
      <c r="H623" s="104" t="s">
        <v>232</v>
      </c>
      <c r="I623" s="104">
        <v>0.0</v>
      </c>
      <c r="J623" s="104">
        <v>0.0</v>
      </c>
      <c r="K623" s="110" t="s">
        <v>1649</v>
      </c>
      <c r="L623" s="110" t="s">
        <v>1650</v>
      </c>
    </row>
    <row r="624">
      <c r="A624" s="110" t="s">
        <v>1328</v>
      </c>
      <c r="B624" s="104">
        <v>0.0</v>
      </c>
      <c r="C624" s="110" t="s">
        <v>209</v>
      </c>
      <c r="D624" s="110" t="s">
        <v>217</v>
      </c>
      <c r="E624" s="104">
        <v>0.0</v>
      </c>
      <c r="F624" s="104">
        <v>0.0</v>
      </c>
      <c r="G624" s="104">
        <v>0.0</v>
      </c>
      <c r="H624" s="104" t="s">
        <v>232</v>
      </c>
      <c r="I624" s="104">
        <v>0.0</v>
      </c>
      <c r="J624" s="104">
        <v>0.0</v>
      </c>
      <c r="K624" s="110" t="s">
        <v>1651</v>
      </c>
      <c r="L624" s="110" t="s">
        <v>1652</v>
      </c>
    </row>
    <row r="625">
      <c r="A625" s="110" t="s">
        <v>1330</v>
      </c>
      <c r="B625" s="104">
        <v>0.0</v>
      </c>
      <c r="C625" s="110" t="s">
        <v>386</v>
      </c>
      <c r="D625" s="110" t="s">
        <v>217</v>
      </c>
      <c r="E625" s="104">
        <v>0.0</v>
      </c>
      <c r="F625" s="104">
        <v>105.0</v>
      </c>
      <c r="G625" s="110" t="s">
        <v>238</v>
      </c>
      <c r="H625" s="112">
        <v>45674.0</v>
      </c>
      <c r="I625" s="104">
        <v>0.0</v>
      </c>
      <c r="J625" s="104">
        <v>0.0</v>
      </c>
      <c r="K625" s="110" t="s">
        <v>1653</v>
      </c>
      <c r="L625" s="110" t="s">
        <v>1654</v>
      </c>
    </row>
    <row r="626">
      <c r="A626" s="110" t="s">
        <v>1332</v>
      </c>
      <c r="B626" s="104">
        <v>0.0</v>
      </c>
      <c r="C626" s="110" t="s">
        <v>337</v>
      </c>
      <c r="D626" s="110" t="s">
        <v>217</v>
      </c>
      <c r="E626" s="104">
        <v>0.0</v>
      </c>
      <c r="F626" s="104">
        <v>125.0</v>
      </c>
      <c r="G626" s="110" t="s">
        <v>238</v>
      </c>
      <c r="H626" s="112">
        <v>45674.0</v>
      </c>
      <c r="I626" s="110" t="s">
        <v>1655</v>
      </c>
      <c r="J626" s="104">
        <v>0.0</v>
      </c>
      <c r="K626" s="110" t="s">
        <v>1656</v>
      </c>
      <c r="L626" s="110" t="s">
        <v>1657</v>
      </c>
    </row>
    <row r="627">
      <c r="A627" s="110" t="s">
        <v>1334</v>
      </c>
      <c r="B627" s="104">
        <v>0.0</v>
      </c>
      <c r="C627" s="110" t="s">
        <v>344</v>
      </c>
      <c r="D627" s="110" t="s">
        <v>217</v>
      </c>
      <c r="E627" s="104">
        <v>0.0</v>
      </c>
      <c r="F627" s="104">
        <v>65.0</v>
      </c>
      <c r="G627" s="110" t="s">
        <v>262</v>
      </c>
      <c r="H627" s="112">
        <v>45849.0</v>
      </c>
      <c r="I627" s="110" t="s">
        <v>1334</v>
      </c>
      <c r="J627" s="104">
        <v>0.0</v>
      </c>
      <c r="K627" s="110" t="s">
        <v>1658</v>
      </c>
      <c r="L627" s="110" t="s">
        <v>1659</v>
      </c>
    </row>
    <row r="628">
      <c r="A628" s="110" t="s">
        <v>1336</v>
      </c>
      <c r="B628" s="104">
        <v>0.0</v>
      </c>
      <c r="C628" s="110" t="s">
        <v>209</v>
      </c>
      <c r="D628" s="110" t="s">
        <v>217</v>
      </c>
      <c r="E628" s="104">
        <v>0.0</v>
      </c>
      <c r="F628" s="104">
        <v>106.0</v>
      </c>
      <c r="G628" s="110" t="s">
        <v>302</v>
      </c>
      <c r="H628" s="112">
        <v>45986.0</v>
      </c>
      <c r="I628" s="110" t="s">
        <v>1336</v>
      </c>
      <c r="J628" s="104">
        <v>0.0</v>
      </c>
      <c r="K628" s="110" t="s">
        <v>1660</v>
      </c>
      <c r="L628" s="110" t="s">
        <v>1661</v>
      </c>
    </row>
    <row r="629">
      <c r="A629" s="110" t="s">
        <v>1336</v>
      </c>
      <c r="B629" s="104">
        <v>0.0</v>
      </c>
      <c r="C629" s="110" t="s">
        <v>209</v>
      </c>
      <c r="D629" s="110" t="s">
        <v>217</v>
      </c>
      <c r="E629" s="104">
        <v>0.0</v>
      </c>
      <c r="F629" s="104">
        <v>138.0</v>
      </c>
      <c r="G629" s="110" t="s">
        <v>211</v>
      </c>
      <c r="H629" s="112">
        <v>45986.0</v>
      </c>
      <c r="I629" s="110" t="s">
        <v>1336</v>
      </c>
      <c r="J629" s="104">
        <v>0.0</v>
      </c>
      <c r="K629" s="110" t="s">
        <v>1660</v>
      </c>
      <c r="L629" s="110" t="s">
        <v>1662</v>
      </c>
    </row>
    <row r="630">
      <c r="A630" s="110" t="s">
        <v>1336</v>
      </c>
      <c r="B630" s="104">
        <v>0.0</v>
      </c>
      <c r="C630" s="110" t="s">
        <v>209</v>
      </c>
      <c r="D630" s="110" t="s">
        <v>217</v>
      </c>
      <c r="E630" s="104">
        <v>0.0</v>
      </c>
      <c r="F630" s="104">
        <v>100.0</v>
      </c>
      <c r="G630" s="110" t="s">
        <v>334</v>
      </c>
      <c r="H630" s="112">
        <v>45744.0</v>
      </c>
      <c r="I630" s="104">
        <v>0.0</v>
      </c>
      <c r="J630" s="104">
        <v>0.0</v>
      </c>
      <c r="K630" s="110" t="s">
        <v>1660</v>
      </c>
      <c r="L630" s="110" t="s">
        <v>1663</v>
      </c>
    </row>
    <row r="631">
      <c r="A631" s="110" t="s">
        <v>1338</v>
      </c>
      <c r="B631" s="104">
        <v>0.0</v>
      </c>
      <c r="C631" s="110" t="s">
        <v>266</v>
      </c>
      <c r="D631" s="110" t="s">
        <v>201</v>
      </c>
      <c r="E631" s="104">
        <v>0.0</v>
      </c>
      <c r="F631" s="104">
        <v>8.5</v>
      </c>
      <c r="G631" s="110" t="s">
        <v>268</v>
      </c>
      <c r="H631" s="112">
        <v>45930.0</v>
      </c>
      <c r="I631" s="104">
        <v>0.0</v>
      </c>
      <c r="J631" s="104">
        <v>0.0</v>
      </c>
      <c r="K631" s="110" t="s">
        <v>1664</v>
      </c>
      <c r="L631" s="110" t="s">
        <v>1665</v>
      </c>
    </row>
    <row r="632">
      <c r="A632" s="110" t="s">
        <v>1338</v>
      </c>
      <c r="B632" s="104">
        <v>0.0</v>
      </c>
      <c r="C632" s="110" t="s">
        <v>386</v>
      </c>
      <c r="D632" s="110" t="s">
        <v>217</v>
      </c>
      <c r="E632" s="104">
        <v>0.0</v>
      </c>
      <c r="F632" s="104">
        <v>9.0</v>
      </c>
      <c r="G632" s="110" t="s">
        <v>238</v>
      </c>
      <c r="H632" s="112">
        <v>45603.0</v>
      </c>
      <c r="I632" s="104">
        <v>0.0</v>
      </c>
      <c r="J632" s="104">
        <v>0.0</v>
      </c>
      <c r="K632" s="110" t="s">
        <v>1666</v>
      </c>
      <c r="L632" s="110" t="s">
        <v>1667</v>
      </c>
    </row>
    <row r="633">
      <c r="A633" s="110" t="s">
        <v>1338</v>
      </c>
      <c r="B633" s="104">
        <v>0.0</v>
      </c>
      <c r="C633" s="110" t="s">
        <v>386</v>
      </c>
      <c r="D633" s="110" t="s">
        <v>217</v>
      </c>
      <c r="E633" s="104">
        <v>0.0</v>
      </c>
      <c r="F633" s="104">
        <v>17.0</v>
      </c>
      <c r="G633" s="110" t="s">
        <v>238</v>
      </c>
      <c r="H633" s="112">
        <v>45534.0</v>
      </c>
      <c r="I633" s="104">
        <v>0.0</v>
      </c>
      <c r="J633" s="104">
        <v>0.0</v>
      </c>
      <c r="K633" s="110" t="s">
        <v>1666</v>
      </c>
      <c r="L633" s="110" t="s">
        <v>1668</v>
      </c>
    </row>
    <row r="634">
      <c r="A634" s="110" t="s">
        <v>1341</v>
      </c>
      <c r="B634" s="104">
        <v>0.0</v>
      </c>
      <c r="C634" s="110" t="s">
        <v>588</v>
      </c>
      <c r="D634" s="110" t="s">
        <v>201</v>
      </c>
      <c r="E634" s="104">
        <v>25.0</v>
      </c>
      <c r="F634" s="104">
        <v>39.0</v>
      </c>
      <c r="G634" s="110" t="s">
        <v>238</v>
      </c>
      <c r="H634" s="112">
        <v>45987.0</v>
      </c>
      <c r="I634" s="110" t="s">
        <v>1341</v>
      </c>
      <c r="J634" s="104">
        <v>0.0</v>
      </c>
      <c r="K634" s="110" t="s">
        <v>1669</v>
      </c>
      <c r="L634" s="110" t="s">
        <v>1670</v>
      </c>
    </row>
    <row r="635">
      <c r="A635" s="110" t="s">
        <v>1343</v>
      </c>
      <c r="B635" s="104">
        <v>0.0</v>
      </c>
      <c r="C635" s="110" t="s">
        <v>209</v>
      </c>
      <c r="D635" s="110" t="s">
        <v>201</v>
      </c>
      <c r="E635" s="104">
        <v>59.0</v>
      </c>
      <c r="F635" s="104">
        <v>59.0</v>
      </c>
      <c r="G635" s="110" t="s">
        <v>211</v>
      </c>
      <c r="H635" s="112">
        <v>45992.0</v>
      </c>
      <c r="I635" s="110" t="s">
        <v>1343</v>
      </c>
      <c r="J635" s="104">
        <v>0.0</v>
      </c>
      <c r="K635" s="110" t="s">
        <v>1671</v>
      </c>
      <c r="L635" s="110" t="s">
        <v>1672</v>
      </c>
    </row>
    <row r="636">
      <c r="A636" s="110" t="s">
        <v>1345</v>
      </c>
      <c r="B636" s="110" t="s">
        <v>1673</v>
      </c>
      <c r="C636" s="110" t="s">
        <v>720</v>
      </c>
      <c r="D636" s="110" t="s">
        <v>210</v>
      </c>
      <c r="E636" s="104">
        <v>0.0</v>
      </c>
      <c r="F636" s="104">
        <v>54.0</v>
      </c>
      <c r="G636" s="110" t="s">
        <v>721</v>
      </c>
      <c r="H636" s="112">
        <v>45741.0</v>
      </c>
      <c r="I636" s="104">
        <v>0.0</v>
      </c>
      <c r="J636" s="104">
        <v>0.0</v>
      </c>
      <c r="K636" s="110" t="s">
        <v>1674</v>
      </c>
      <c r="L636" s="110" t="s">
        <v>1675</v>
      </c>
    </row>
    <row r="637">
      <c r="A637" s="110" t="s">
        <v>1345</v>
      </c>
      <c r="B637" s="110" t="s">
        <v>1673</v>
      </c>
      <c r="C637" s="110" t="s">
        <v>720</v>
      </c>
      <c r="D637" s="110" t="s">
        <v>210</v>
      </c>
      <c r="E637" s="104">
        <v>0.0</v>
      </c>
      <c r="F637" s="104">
        <v>50.0</v>
      </c>
      <c r="G637" s="110" t="s">
        <v>724</v>
      </c>
      <c r="H637" s="112">
        <v>45741.0</v>
      </c>
      <c r="I637" s="104">
        <v>0.0</v>
      </c>
      <c r="J637" s="104">
        <v>0.0</v>
      </c>
      <c r="K637" s="110" t="s">
        <v>1674</v>
      </c>
      <c r="L637" s="110" t="s">
        <v>1676</v>
      </c>
    </row>
    <row r="638">
      <c r="A638" s="110" t="s">
        <v>1345</v>
      </c>
      <c r="B638" s="110" t="s">
        <v>1673</v>
      </c>
      <c r="C638" s="110" t="s">
        <v>720</v>
      </c>
      <c r="D638" s="110" t="s">
        <v>210</v>
      </c>
      <c r="E638" s="104">
        <v>0.0</v>
      </c>
      <c r="F638" s="104">
        <v>46.0</v>
      </c>
      <c r="G638" s="110" t="s">
        <v>726</v>
      </c>
      <c r="H638" s="112">
        <v>45741.0</v>
      </c>
      <c r="I638" s="104">
        <v>0.0</v>
      </c>
      <c r="J638" s="104">
        <v>0.0</v>
      </c>
      <c r="K638" s="110" t="s">
        <v>1674</v>
      </c>
      <c r="L638" s="110" t="s">
        <v>1677</v>
      </c>
    </row>
    <row r="639">
      <c r="A639" s="110" t="s">
        <v>1345</v>
      </c>
      <c r="B639" s="110" t="s">
        <v>1673</v>
      </c>
      <c r="C639" s="110" t="s">
        <v>720</v>
      </c>
      <c r="D639" s="110" t="s">
        <v>210</v>
      </c>
      <c r="E639" s="104">
        <v>0.0</v>
      </c>
      <c r="F639" s="104">
        <v>43.0</v>
      </c>
      <c r="G639" s="110" t="s">
        <v>728</v>
      </c>
      <c r="H639" s="112">
        <v>45741.0</v>
      </c>
      <c r="I639" s="104">
        <v>0.0</v>
      </c>
      <c r="J639" s="104">
        <v>0.0</v>
      </c>
      <c r="K639" s="110" t="s">
        <v>1674</v>
      </c>
      <c r="L639" s="110" t="s">
        <v>1678</v>
      </c>
    </row>
    <row r="640">
      <c r="A640" s="110" t="s">
        <v>1347</v>
      </c>
      <c r="B640" s="104">
        <v>0.0</v>
      </c>
      <c r="C640" s="110" t="s">
        <v>720</v>
      </c>
      <c r="D640" s="110" t="s">
        <v>210</v>
      </c>
      <c r="E640" s="104">
        <v>0.0</v>
      </c>
      <c r="F640" s="104">
        <v>59.4</v>
      </c>
      <c r="G640" s="110" t="s">
        <v>302</v>
      </c>
      <c r="H640" s="112">
        <v>45957.0</v>
      </c>
      <c r="I640" s="110" t="s">
        <v>1679</v>
      </c>
      <c r="J640" s="104">
        <v>0.0</v>
      </c>
      <c r="K640" s="110" t="s">
        <v>1680</v>
      </c>
      <c r="L640" s="110" t="s">
        <v>1681</v>
      </c>
    </row>
    <row r="641">
      <c r="A641" s="110" t="s">
        <v>1349</v>
      </c>
      <c r="B641" s="104">
        <v>0.0</v>
      </c>
      <c r="C641" s="110" t="s">
        <v>925</v>
      </c>
      <c r="D641" s="110" t="s">
        <v>210</v>
      </c>
      <c r="E641" s="104">
        <v>0.0</v>
      </c>
      <c r="F641" s="104">
        <v>10.0</v>
      </c>
      <c r="G641" s="110" t="s">
        <v>238</v>
      </c>
      <c r="H641" s="112">
        <v>45980.0</v>
      </c>
      <c r="I641" s="110" t="s">
        <v>1349</v>
      </c>
      <c r="J641" s="104">
        <v>0.0</v>
      </c>
      <c r="K641" s="110" t="s">
        <v>1682</v>
      </c>
      <c r="L641" s="110" t="s">
        <v>1683</v>
      </c>
    </row>
    <row r="642">
      <c r="A642" s="110" t="s">
        <v>1352</v>
      </c>
      <c r="B642" s="104">
        <v>0.0</v>
      </c>
      <c r="C642" s="110" t="s">
        <v>317</v>
      </c>
      <c r="D642" s="110" t="s">
        <v>217</v>
      </c>
      <c r="E642" s="104">
        <v>0.0</v>
      </c>
      <c r="F642" s="104">
        <v>295.0</v>
      </c>
      <c r="G642" s="104">
        <v>0.0</v>
      </c>
      <c r="H642" s="112">
        <v>45874.0</v>
      </c>
      <c r="I642" s="104">
        <v>0.0</v>
      </c>
      <c r="J642" s="104">
        <v>0.0</v>
      </c>
      <c r="K642" s="110" t="s">
        <v>1684</v>
      </c>
      <c r="L642" s="110" t="s">
        <v>1685</v>
      </c>
    </row>
    <row r="643">
      <c r="A643" s="110" t="s">
        <v>1354</v>
      </c>
      <c r="B643" s="104">
        <v>0.0</v>
      </c>
      <c r="C643" s="110" t="s">
        <v>317</v>
      </c>
      <c r="D643" s="110" t="s">
        <v>217</v>
      </c>
      <c r="E643" s="104">
        <v>0.0</v>
      </c>
      <c r="F643" s="104">
        <v>295.0</v>
      </c>
      <c r="G643" s="104">
        <v>0.0</v>
      </c>
      <c r="H643" s="112">
        <v>45874.0</v>
      </c>
      <c r="I643" s="104">
        <v>0.0</v>
      </c>
      <c r="J643" s="104">
        <v>0.0</v>
      </c>
      <c r="K643" s="110" t="s">
        <v>1686</v>
      </c>
      <c r="L643" s="110" t="s">
        <v>1687</v>
      </c>
    </row>
    <row r="644">
      <c r="A644" s="110" t="s">
        <v>1357</v>
      </c>
      <c r="B644" s="104">
        <v>0.0</v>
      </c>
      <c r="C644" s="110" t="s">
        <v>1688</v>
      </c>
      <c r="D644" s="110" t="s">
        <v>217</v>
      </c>
      <c r="E644" s="104">
        <v>0.0</v>
      </c>
      <c r="F644" s="104">
        <v>40.0</v>
      </c>
      <c r="G644" s="110" t="s">
        <v>334</v>
      </c>
      <c r="H644" s="112">
        <v>45882.0</v>
      </c>
      <c r="I644" s="110" t="s">
        <v>1357</v>
      </c>
      <c r="J644" s="104">
        <v>0.0</v>
      </c>
      <c r="K644" s="110" t="s">
        <v>1689</v>
      </c>
      <c r="L644" s="110" t="s">
        <v>1690</v>
      </c>
    </row>
    <row r="645">
      <c r="A645" s="110" t="s">
        <v>1359</v>
      </c>
      <c r="B645" s="104">
        <v>0.0</v>
      </c>
      <c r="C645" s="110" t="s">
        <v>1688</v>
      </c>
      <c r="D645" s="110" t="s">
        <v>217</v>
      </c>
      <c r="E645" s="104">
        <v>0.0</v>
      </c>
      <c r="F645" s="104">
        <v>40.0</v>
      </c>
      <c r="G645" s="110" t="s">
        <v>334</v>
      </c>
      <c r="H645" s="112">
        <v>45882.0</v>
      </c>
      <c r="I645" s="110" t="s">
        <v>1359</v>
      </c>
      <c r="J645" s="104">
        <v>0.0</v>
      </c>
      <c r="K645" s="110" t="s">
        <v>1691</v>
      </c>
      <c r="L645" s="110" t="s">
        <v>1692</v>
      </c>
    </row>
    <row r="646">
      <c r="A646" s="110" t="s">
        <v>1361</v>
      </c>
      <c r="B646" s="104">
        <v>0.0</v>
      </c>
      <c r="C646" s="110" t="s">
        <v>1688</v>
      </c>
      <c r="D646" s="110" t="s">
        <v>217</v>
      </c>
      <c r="E646" s="104">
        <v>0.0</v>
      </c>
      <c r="F646" s="104">
        <v>145.0</v>
      </c>
      <c r="G646" s="110" t="s">
        <v>334</v>
      </c>
      <c r="H646" s="112">
        <v>45882.0</v>
      </c>
      <c r="I646" s="110" t="s">
        <v>1361</v>
      </c>
      <c r="J646" s="104">
        <v>0.0</v>
      </c>
      <c r="K646" s="110" t="s">
        <v>1693</v>
      </c>
      <c r="L646" s="110" t="s">
        <v>1694</v>
      </c>
    </row>
    <row r="647">
      <c r="A647" s="110" t="s">
        <v>1364</v>
      </c>
      <c r="B647" s="104">
        <v>0.0</v>
      </c>
      <c r="C647" s="110" t="s">
        <v>1688</v>
      </c>
      <c r="D647" s="110" t="s">
        <v>217</v>
      </c>
      <c r="E647" s="104">
        <v>0.0</v>
      </c>
      <c r="F647" s="104">
        <v>46.0</v>
      </c>
      <c r="G647" s="110" t="s">
        <v>334</v>
      </c>
      <c r="H647" s="112">
        <v>45882.0</v>
      </c>
      <c r="I647" s="110" t="s">
        <v>1364</v>
      </c>
      <c r="J647" s="104">
        <v>0.0</v>
      </c>
      <c r="K647" s="110" t="s">
        <v>1695</v>
      </c>
      <c r="L647" s="110" t="s">
        <v>1696</v>
      </c>
    </row>
    <row r="648">
      <c r="A648" s="110" t="s">
        <v>1366</v>
      </c>
      <c r="B648" s="104">
        <v>0.0</v>
      </c>
      <c r="C648" s="110" t="s">
        <v>1688</v>
      </c>
      <c r="D648" s="110" t="s">
        <v>322</v>
      </c>
      <c r="E648" s="104">
        <v>0.0</v>
      </c>
      <c r="F648" s="104">
        <v>43.0</v>
      </c>
      <c r="G648" s="110" t="s">
        <v>334</v>
      </c>
      <c r="H648" s="112">
        <v>45882.0</v>
      </c>
      <c r="I648" s="110" t="s">
        <v>1366</v>
      </c>
      <c r="J648" s="104">
        <v>0.0</v>
      </c>
      <c r="K648" s="110" t="s">
        <v>1697</v>
      </c>
      <c r="L648" s="110" t="s">
        <v>1698</v>
      </c>
    </row>
    <row r="649">
      <c r="A649" s="110" t="s">
        <v>1367</v>
      </c>
      <c r="B649" s="104">
        <v>0.0</v>
      </c>
      <c r="C649" s="110" t="s">
        <v>1688</v>
      </c>
      <c r="D649" s="110" t="s">
        <v>322</v>
      </c>
      <c r="E649" s="104">
        <v>0.0</v>
      </c>
      <c r="F649" s="104">
        <v>36.0</v>
      </c>
      <c r="G649" s="110" t="s">
        <v>334</v>
      </c>
      <c r="H649" s="112">
        <v>45882.0</v>
      </c>
      <c r="I649" s="110" t="s">
        <v>1367</v>
      </c>
      <c r="J649" s="104">
        <v>0.0</v>
      </c>
      <c r="K649" s="110" t="s">
        <v>1699</v>
      </c>
      <c r="L649" s="110" t="s">
        <v>1700</v>
      </c>
    </row>
    <row r="650">
      <c r="A650" s="110" t="s">
        <v>1369</v>
      </c>
      <c r="B650" s="104">
        <v>0.0</v>
      </c>
      <c r="C650" s="110" t="s">
        <v>1688</v>
      </c>
      <c r="D650" s="110" t="s">
        <v>217</v>
      </c>
      <c r="E650" s="104">
        <v>0.0</v>
      </c>
      <c r="F650" s="104">
        <v>190.0</v>
      </c>
      <c r="G650" s="110" t="s">
        <v>334</v>
      </c>
      <c r="H650" s="112">
        <v>45882.0</v>
      </c>
      <c r="I650" s="110" t="s">
        <v>1369</v>
      </c>
      <c r="J650" s="104">
        <v>0.0</v>
      </c>
      <c r="K650" s="110" t="s">
        <v>1701</v>
      </c>
      <c r="L650" s="110" t="s">
        <v>1702</v>
      </c>
    </row>
    <row r="651">
      <c r="A651" s="110" t="s">
        <v>1371</v>
      </c>
      <c r="B651" s="104">
        <v>0.0</v>
      </c>
      <c r="C651" s="110" t="s">
        <v>1688</v>
      </c>
      <c r="D651" s="110" t="s">
        <v>267</v>
      </c>
      <c r="E651" s="104">
        <v>0.0</v>
      </c>
      <c r="F651" s="104">
        <v>23.0</v>
      </c>
      <c r="G651" s="110" t="s">
        <v>334</v>
      </c>
      <c r="H651" s="112">
        <v>45882.0</v>
      </c>
      <c r="I651" s="104">
        <v>0.0</v>
      </c>
      <c r="J651" s="104">
        <v>0.0</v>
      </c>
      <c r="K651" s="110" t="s">
        <v>1703</v>
      </c>
      <c r="L651" s="110" t="s">
        <v>1704</v>
      </c>
    </row>
    <row r="652">
      <c r="A652" s="110" t="s">
        <v>1373</v>
      </c>
      <c r="B652" s="104">
        <v>0.0</v>
      </c>
      <c r="C652" s="110" t="s">
        <v>1688</v>
      </c>
      <c r="D652" s="110" t="s">
        <v>267</v>
      </c>
      <c r="E652" s="104">
        <v>0.0</v>
      </c>
      <c r="F652" s="104">
        <v>23.0</v>
      </c>
      <c r="G652" s="110" t="s">
        <v>334</v>
      </c>
      <c r="H652" s="112">
        <v>45882.0</v>
      </c>
      <c r="I652" s="104">
        <v>0.0</v>
      </c>
      <c r="J652" s="104">
        <v>0.0</v>
      </c>
      <c r="K652" s="110" t="s">
        <v>1705</v>
      </c>
      <c r="L652" s="110" t="s">
        <v>1706</v>
      </c>
    </row>
    <row r="653">
      <c r="A653" s="110" t="s">
        <v>1375</v>
      </c>
      <c r="B653" s="104">
        <v>0.0</v>
      </c>
      <c r="C653" s="110" t="s">
        <v>588</v>
      </c>
      <c r="D653" s="110" t="s">
        <v>201</v>
      </c>
      <c r="E653" s="104">
        <v>25.0</v>
      </c>
      <c r="F653" s="104">
        <v>12.0</v>
      </c>
      <c r="G653" s="110" t="s">
        <v>238</v>
      </c>
      <c r="H653" s="112">
        <v>45987.0</v>
      </c>
      <c r="I653" s="110" t="s">
        <v>1375</v>
      </c>
      <c r="J653" s="104">
        <v>0.0</v>
      </c>
      <c r="K653" s="110" t="s">
        <v>1707</v>
      </c>
      <c r="L653" s="110" t="s">
        <v>1708</v>
      </c>
    </row>
    <row r="654">
      <c r="A654" s="110" t="s">
        <v>1375</v>
      </c>
      <c r="B654" s="104">
        <v>0.0</v>
      </c>
      <c r="C654" s="110" t="s">
        <v>365</v>
      </c>
      <c r="D654" s="110" t="s">
        <v>217</v>
      </c>
      <c r="E654" s="104">
        <v>0.0</v>
      </c>
      <c r="F654" s="104">
        <v>0.0</v>
      </c>
      <c r="G654" s="104">
        <v>0.0</v>
      </c>
      <c r="H654" s="104" t="s">
        <v>232</v>
      </c>
      <c r="I654" s="104">
        <v>0.0</v>
      </c>
      <c r="J654" s="104">
        <v>0.0</v>
      </c>
      <c r="K654" s="110" t="s">
        <v>1709</v>
      </c>
      <c r="L654" s="110" t="s">
        <v>1710</v>
      </c>
    </row>
    <row r="655">
      <c r="A655" s="110" t="s">
        <v>1377</v>
      </c>
      <c r="B655" s="104">
        <v>0.0</v>
      </c>
      <c r="C655" s="110" t="s">
        <v>209</v>
      </c>
      <c r="D655" s="110" t="s">
        <v>201</v>
      </c>
      <c r="E655" s="104">
        <v>12.5</v>
      </c>
      <c r="F655" s="104">
        <v>12.5</v>
      </c>
      <c r="G655" s="110" t="s">
        <v>238</v>
      </c>
      <c r="H655" s="112">
        <v>45992.0</v>
      </c>
      <c r="I655" s="110" t="s">
        <v>1377</v>
      </c>
      <c r="J655" s="104">
        <v>0.0</v>
      </c>
      <c r="K655" s="110" t="s">
        <v>1711</v>
      </c>
      <c r="L655" s="110" t="s">
        <v>1712</v>
      </c>
    </row>
    <row r="656">
      <c r="A656" s="110" t="s">
        <v>1379</v>
      </c>
      <c r="B656" s="104">
        <v>0.0</v>
      </c>
      <c r="C656" s="110" t="s">
        <v>588</v>
      </c>
      <c r="D656" s="110" t="s">
        <v>201</v>
      </c>
      <c r="E656" s="104">
        <v>25.0</v>
      </c>
      <c r="F656" s="104">
        <v>12.0</v>
      </c>
      <c r="G656" s="110" t="s">
        <v>238</v>
      </c>
      <c r="H656" s="112">
        <v>45987.0</v>
      </c>
      <c r="I656" s="110" t="s">
        <v>1379</v>
      </c>
      <c r="J656" s="104">
        <v>0.0</v>
      </c>
      <c r="K656" s="110" t="s">
        <v>1713</v>
      </c>
      <c r="L656" s="110" t="s">
        <v>1714</v>
      </c>
    </row>
    <row r="657">
      <c r="A657" s="110" t="s">
        <v>1379</v>
      </c>
      <c r="B657" s="104">
        <v>0.0</v>
      </c>
      <c r="C657" s="110" t="s">
        <v>365</v>
      </c>
      <c r="D657" s="110" t="s">
        <v>217</v>
      </c>
      <c r="E657" s="104">
        <v>0.0</v>
      </c>
      <c r="F657" s="104">
        <v>0.0</v>
      </c>
      <c r="G657" s="104">
        <v>0.0</v>
      </c>
      <c r="H657" s="104" t="s">
        <v>232</v>
      </c>
      <c r="I657" s="104">
        <v>0.0</v>
      </c>
      <c r="J657" s="104">
        <v>0.0</v>
      </c>
      <c r="K657" s="110" t="s">
        <v>1715</v>
      </c>
      <c r="L657" s="110" t="s">
        <v>1716</v>
      </c>
    </row>
    <row r="658">
      <c r="A658" s="110" t="s">
        <v>1379</v>
      </c>
      <c r="B658" s="104">
        <v>0.0</v>
      </c>
      <c r="C658" s="110" t="s">
        <v>209</v>
      </c>
      <c r="D658" s="110" t="s">
        <v>217</v>
      </c>
      <c r="E658" s="104">
        <v>0.0</v>
      </c>
      <c r="F658" s="104">
        <v>0.0</v>
      </c>
      <c r="G658" s="104">
        <v>0.0</v>
      </c>
      <c r="H658" s="104" t="s">
        <v>232</v>
      </c>
      <c r="I658" s="104">
        <v>0.0</v>
      </c>
      <c r="J658" s="104">
        <v>0.0</v>
      </c>
      <c r="K658" s="110" t="s">
        <v>1717</v>
      </c>
      <c r="L658" s="110" t="s">
        <v>1718</v>
      </c>
    </row>
    <row r="659">
      <c r="A659" s="110" t="s">
        <v>1381</v>
      </c>
      <c r="B659" s="104">
        <v>0.0</v>
      </c>
      <c r="C659" s="110" t="s">
        <v>209</v>
      </c>
      <c r="D659" s="110" t="s">
        <v>201</v>
      </c>
      <c r="E659" s="104">
        <v>15.5</v>
      </c>
      <c r="F659" s="104">
        <v>15.5</v>
      </c>
      <c r="G659" s="110" t="s">
        <v>238</v>
      </c>
      <c r="H659" s="112">
        <v>45992.0</v>
      </c>
      <c r="I659" s="110" t="s">
        <v>1381</v>
      </c>
      <c r="J659" s="104">
        <v>0.0</v>
      </c>
      <c r="K659" s="110" t="s">
        <v>1719</v>
      </c>
      <c r="L659" s="110" t="s">
        <v>1720</v>
      </c>
    </row>
    <row r="660">
      <c r="A660" s="110" t="s">
        <v>1384</v>
      </c>
      <c r="B660" s="104">
        <v>0.0</v>
      </c>
      <c r="C660" s="110" t="s">
        <v>331</v>
      </c>
      <c r="D660" s="110" t="s">
        <v>201</v>
      </c>
      <c r="E660" s="104">
        <v>0.0</v>
      </c>
      <c r="F660" s="104">
        <v>17.0</v>
      </c>
      <c r="G660" s="110" t="s">
        <v>238</v>
      </c>
      <c r="H660" s="112">
        <v>45987.0</v>
      </c>
      <c r="I660" s="110" t="s">
        <v>1384</v>
      </c>
      <c r="J660" s="104">
        <v>0.0</v>
      </c>
      <c r="K660" s="110" t="s">
        <v>1721</v>
      </c>
      <c r="L660" s="110" t="s">
        <v>1722</v>
      </c>
    </row>
    <row r="661">
      <c r="A661" s="110" t="s">
        <v>1388</v>
      </c>
      <c r="B661" s="104">
        <v>0.0</v>
      </c>
      <c r="C661" s="110" t="s">
        <v>317</v>
      </c>
      <c r="D661" s="110" t="s">
        <v>201</v>
      </c>
      <c r="E661" s="104">
        <v>0.0</v>
      </c>
      <c r="F661" s="104">
        <v>12.5</v>
      </c>
      <c r="G661" s="104">
        <v>0.0</v>
      </c>
      <c r="H661" s="112">
        <v>45874.0</v>
      </c>
      <c r="I661" s="104">
        <v>0.0</v>
      </c>
      <c r="J661" s="104">
        <v>0.0</v>
      </c>
      <c r="K661" s="110" t="s">
        <v>1723</v>
      </c>
      <c r="L661" s="110" t="s">
        <v>1724</v>
      </c>
    </row>
    <row r="662">
      <c r="A662" s="110" t="s">
        <v>1390</v>
      </c>
      <c r="B662" s="104">
        <v>0.0</v>
      </c>
      <c r="C662" s="110" t="s">
        <v>365</v>
      </c>
      <c r="D662" s="110" t="s">
        <v>217</v>
      </c>
      <c r="E662" s="104">
        <v>0.0</v>
      </c>
      <c r="F662" s="104">
        <v>0.0</v>
      </c>
      <c r="G662" s="104">
        <v>0.0</v>
      </c>
      <c r="H662" s="104" t="s">
        <v>232</v>
      </c>
      <c r="I662" s="104">
        <v>0.0</v>
      </c>
      <c r="J662" s="104">
        <v>0.0</v>
      </c>
      <c r="K662" s="110" t="s">
        <v>1725</v>
      </c>
      <c r="L662" s="110" t="s">
        <v>1726</v>
      </c>
    </row>
    <row r="663">
      <c r="A663" s="110" t="s">
        <v>1391</v>
      </c>
      <c r="B663" s="104">
        <v>0.0</v>
      </c>
      <c r="C663" s="110" t="s">
        <v>588</v>
      </c>
      <c r="D663" s="110" t="s">
        <v>201</v>
      </c>
      <c r="E663" s="104">
        <v>25.0</v>
      </c>
      <c r="F663" s="104">
        <v>0.0</v>
      </c>
      <c r="G663" s="110" t="s">
        <v>238</v>
      </c>
      <c r="H663" s="112">
        <v>45987.0</v>
      </c>
      <c r="I663" s="110" t="s">
        <v>1391</v>
      </c>
      <c r="J663" s="104">
        <v>0.0</v>
      </c>
      <c r="K663" s="110" t="s">
        <v>1727</v>
      </c>
      <c r="L663" s="110" t="s">
        <v>1728</v>
      </c>
    </row>
    <row r="664">
      <c r="A664" s="110" t="s">
        <v>1392</v>
      </c>
      <c r="B664" s="104">
        <v>0.0</v>
      </c>
      <c r="C664" s="110" t="s">
        <v>331</v>
      </c>
      <c r="D664" s="110" t="s">
        <v>201</v>
      </c>
      <c r="E664" s="104">
        <v>0.0</v>
      </c>
      <c r="F664" s="104">
        <v>10.0</v>
      </c>
      <c r="G664" s="110" t="s">
        <v>238</v>
      </c>
      <c r="H664" s="112">
        <v>45987.0</v>
      </c>
      <c r="I664" s="110" t="s">
        <v>1392</v>
      </c>
      <c r="J664" s="104">
        <v>0.0</v>
      </c>
      <c r="K664" s="110" t="s">
        <v>1729</v>
      </c>
      <c r="L664" s="110" t="s">
        <v>1730</v>
      </c>
    </row>
    <row r="665">
      <c r="A665" s="110" t="s">
        <v>1394</v>
      </c>
      <c r="B665" s="104">
        <v>0.0</v>
      </c>
      <c r="C665" s="110" t="s">
        <v>209</v>
      </c>
      <c r="D665" s="110" t="s">
        <v>217</v>
      </c>
      <c r="E665" s="104">
        <v>0.0</v>
      </c>
      <c r="F665" s="104">
        <v>0.0</v>
      </c>
      <c r="G665" s="104">
        <v>0.0</v>
      </c>
      <c r="H665" s="104" t="s">
        <v>232</v>
      </c>
      <c r="I665" s="104">
        <v>0.0</v>
      </c>
      <c r="J665" s="104">
        <v>0.0</v>
      </c>
      <c r="K665" s="110" t="s">
        <v>1731</v>
      </c>
      <c r="L665" s="110" t="s">
        <v>1732</v>
      </c>
    </row>
    <row r="666">
      <c r="A666" s="110" t="s">
        <v>1398</v>
      </c>
      <c r="B666" s="104">
        <v>0.0</v>
      </c>
      <c r="C666" s="110" t="s">
        <v>209</v>
      </c>
      <c r="D666" s="110" t="s">
        <v>201</v>
      </c>
      <c r="E666" s="104">
        <v>5.5</v>
      </c>
      <c r="F666" s="104">
        <v>5.5</v>
      </c>
      <c r="G666" s="110" t="s">
        <v>238</v>
      </c>
      <c r="H666" s="112">
        <v>45992.0</v>
      </c>
      <c r="I666" s="110" t="s">
        <v>1398</v>
      </c>
      <c r="J666" s="104">
        <v>0.0</v>
      </c>
      <c r="K666" s="110" t="s">
        <v>1733</v>
      </c>
      <c r="L666" s="110" t="s">
        <v>1734</v>
      </c>
    </row>
    <row r="667">
      <c r="A667" s="110" t="s">
        <v>1402</v>
      </c>
      <c r="B667" s="104">
        <v>0.0</v>
      </c>
      <c r="C667" s="110" t="s">
        <v>209</v>
      </c>
      <c r="D667" s="110" t="s">
        <v>217</v>
      </c>
      <c r="E667" s="104">
        <v>0.0</v>
      </c>
      <c r="F667" s="104">
        <v>6.5</v>
      </c>
      <c r="G667" s="110" t="s">
        <v>238</v>
      </c>
      <c r="H667" s="112">
        <v>45915.0</v>
      </c>
      <c r="I667" s="110" t="s">
        <v>1402</v>
      </c>
      <c r="J667" s="104">
        <v>0.0</v>
      </c>
      <c r="K667" s="110" t="s">
        <v>1735</v>
      </c>
      <c r="L667" s="110" t="s">
        <v>1736</v>
      </c>
    </row>
    <row r="668">
      <c r="A668" s="110" t="s">
        <v>1404</v>
      </c>
      <c r="B668" s="104">
        <v>0.0</v>
      </c>
      <c r="C668" s="110" t="s">
        <v>588</v>
      </c>
      <c r="D668" s="110" t="s">
        <v>201</v>
      </c>
      <c r="E668" s="104">
        <v>25.0</v>
      </c>
      <c r="F668" s="104">
        <v>0.0</v>
      </c>
      <c r="G668" s="104">
        <v>0.0</v>
      </c>
      <c r="H668" s="112">
        <v>45987.0</v>
      </c>
      <c r="I668" s="110" t="s">
        <v>1404</v>
      </c>
      <c r="J668" s="104">
        <v>0.0</v>
      </c>
      <c r="K668" s="110" t="s">
        <v>1737</v>
      </c>
      <c r="L668" s="110" t="s">
        <v>1738</v>
      </c>
    </row>
    <row r="669">
      <c r="A669" s="110" t="s">
        <v>1404</v>
      </c>
      <c r="B669" s="104">
        <v>0.0</v>
      </c>
      <c r="C669" s="110" t="s">
        <v>365</v>
      </c>
      <c r="D669" s="110" t="s">
        <v>217</v>
      </c>
      <c r="E669" s="104">
        <v>0.0</v>
      </c>
      <c r="F669" s="104">
        <v>0.0</v>
      </c>
      <c r="G669" s="104">
        <v>0.0</v>
      </c>
      <c r="H669" s="104" t="s">
        <v>232</v>
      </c>
      <c r="I669" s="104">
        <v>0.0</v>
      </c>
      <c r="J669" s="104">
        <v>0.0</v>
      </c>
      <c r="K669" s="110" t="s">
        <v>1739</v>
      </c>
      <c r="L669" s="110" t="s">
        <v>1740</v>
      </c>
    </row>
    <row r="670">
      <c r="A670" s="110" t="s">
        <v>1404</v>
      </c>
      <c r="B670" s="104">
        <v>0.0</v>
      </c>
      <c r="C670" s="110" t="s">
        <v>209</v>
      </c>
      <c r="D670" s="110" t="s">
        <v>217</v>
      </c>
      <c r="E670" s="104">
        <v>0.0</v>
      </c>
      <c r="F670" s="104">
        <v>0.0</v>
      </c>
      <c r="G670" s="104">
        <v>0.0</v>
      </c>
      <c r="H670" s="104" t="s">
        <v>232</v>
      </c>
      <c r="I670" s="104">
        <v>0.0</v>
      </c>
      <c r="J670" s="104">
        <v>0.0</v>
      </c>
      <c r="K670" s="110" t="s">
        <v>1741</v>
      </c>
      <c r="L670" s="110" t="s">
        <v>1742</v>
      </c>
    </row>
    <row r="671">
      <c r="A671" s="110" t="s">
        <v>1406</v>
      </c>
      <c r="B671" s="104">
        <v>0.0</v>
      </c>
      <c r="C671" s="110" t="s">
        <v>209</v>
      </c>
      <c r="D671" s="110" t="s">
        <v>201</v>
      </c>
      <c r="E671" s="104">
        <v>8.75</v>
      </c>
      <c r="F671" s="104">
        <v>8.75</v>
      </c>
      <c r="G671" s="110" t="s">
        <v>238</v>
      </c>
      <c r="H671" s="112">
        <v>45992.0</v>
      </c>
      <c r="I671" s="110" t="s">
        <v>1406</v>
      </c>
      <c r="J671" s="104">
        <v>0.0</v>
      </c>
      <c r="K671" s="110" t="s">
        <v>1743</v>
      </c>
      <c r="L671" s="110" t="s">
        <v>1744</v>
      </c>
    </row>
    <row r="672">
      <c r="A672" s="110" t="s">
        <v>1408</v>
      </c>
      <c r="B672" s="104">
        <v>0.0</v>
      </c>
      <c r="C672" s="110" t="s">
        <v>386</v>
      </c>
      <c r="D672" s="110" t="s">
        <v>217</v>
      </c>
      <c r="E672" s="104">
        <v>0.0</v>
      </c>
      <c r="F672" s="104">
        <v>750.0</v>
      </c>
      <c r="G672" s="110" t="s">
        <v>1745</v>
      </c>
      <c r="H672" s="112">
        <v>45982.0</v>
      </c>
      <c r="I672" s="110" t="s">
        <v>1408</v>
      </c>
      <c r="J672" s="104">
        <v>0.0</v>
      </c>
      <c r="K672" s="110" t="s">
        <v>1746</v>
      </c>
      <c r="L672" s="110" t="s">
        <v>1747</v>
      </c>
    </row>
    <row r="673">
      <c r="A673" s="110" t="s">
        <v>1410</v>
      </c>
      <c r="B673" s="104">
        <v>0.0</v>
      </c>
      <c r="C673" s="110" t="s">
        <v>209</v>
      </c>
      <c r="D673" s="110" t="s">
        <v>217</v>
      </c>
      <c r="E673" s="104">
        <v>0.0</v>
      </c>
      <c r="F673" s="104">
        <v>2000.0</v>
      </c>
      <c r="G673" s="110" t="s">
        <v>986</v>
      </c>
      <c r="H673" s="112">
        <v>45985.0</v>
      </c>
      <c r="I673" s="110" t="s">
        <v>1410</v>
      </c>
      <c r="J673" s="104">
        <v>0.0</v>
      </c>
      <c r="K673" s="110" t="s">
        <v>1748</v>
      </c>
      <c r="L673" s="110" t="s">
        <v>1749</v>
      </c>
    </row>
    <row r="674">
      <c r="A674" s="110" t="s">
        <v>1414</v>
      </c>
      <c r="B674" s="104">
        <v>0.0</v>
      </c>
      <c r="C674" s="110" t="s">
        <v>588</v>
      </c>
      <c r="D674" s="110" t="s">
        <v>201</v>
      </c>
      <c r="E674" s="104">
        <v>25.0</v>
      </c>
      <c r="F674" s="104">
        <v>0.0</v>
      </c>
      <c r="G674" s="110" t="s">
        <v>238</v>
      </c>
      <c r="H674" s="112">
        <v>45987.0</v>
      </c>
      <c r="I674" s="110" t="s">
        <v>1414</v>
      </c>
      <c r="J674" s="104">
        <v>0.0</v>
      </c>
      <c r="K674" s="110" t="s">
        <v>1750</v>
      </c>
      <c r="L674" s="110" t="s">
        <v>1751</v>
      </c>
    </row>
    <row r="675">
      <c r="A675" s="110" t="s">
        <v>1414</v>
      </c>
      <c r="B675" s="104">
        <v>0.0</v>
      </c>
      <c r="C675" s="110" t="s">
        <v>209</v>
      </c>
      <c r="D675" s="110" t="s">
        <v>217</v>
      </c>
      <c r="E675" s="104">
        <v>0.0</v>
      </c>
      <c r="F675" s="104">
        <v>0.0</v>
      </c>
      <c r="G675" s="104">
        <v>0.0</v>
      </c>
      <c r="H675" s="104" t="s">
        <v>232</v>
      </c>
      <c r="I675" s="104">
        <v>0.0</v>
      </c>
      <c r="J675" s="104">
        <v>0.0</v>
      </c>
      <c r="K675" s="110" t="s">
        <v>1752</v>
      </c>
      <c r="L675" s="110" t="s">
        <v>1753</v>
      </c>
    </row>
    <row r="676">
      <c r="A676" s="110" t="s">
        <v>1416</v>
      </c>
      <c r="B676" s="104">
        <v>0.0</v>
      </c>
      <c r="C676" s="110" t="s">
        <v>209</v>
      </c>
      <c r="D676" s="110" t="s">
        <v>201</v>
      </c>
      <c r="E676" s="104">
        <v>12.0</v>
      </c>
      <c r="F676" s="104">
        <v>12.0</v>
      </c>
      <c r="G676" s="110" t="s">
        <v>238</v>
      </c>
      <c r="H676" s="112">
        <v>45992.0</v>
      </c>
      <c r="I676" s="110" t="s">
        <v>1416</v>
      </c>
      <c r="J676" s="104">
        <v>0.0</v>
      </c>
      <c r="K676" s="110" t="s">
        <v>1754</v>
      </c>
      <c r="L676" s="110" t="s">
        <v>1755</v>
      </c>
    </row>
    <row r="677">
      <c r="A677" s="110" t="s">
        <v>1418</v>
      </c>
      <c r="B677" s="104">
        <v>0.0</v>
      </c>
      <c r="C677" s="110" t="s">
        <v>209</v>
      </c>
      <c r="D677" s="104">
        <v>0.0</v>
      </c>
      <c r="E677" s="104">
        <v>0.0</v>
      </c>
      <c r="F677" s="104">
        <v>76.0</v>
      </c>
      <c r="G677" s="110" t="s">
        <v>238</v>
      </c>
      <c r="H677" s="112">
        <v>45915.0</v>
      </c>
      <c r="I677" s="110" t="s">
        <v>1418</v>
      </c>
      <c r="J677" s="104">
        <v>0.0</v>
      </c>
      <c r="K677" s="110" t="s">
        <v>1756</v>
      </c>
      <c r="L677" s="110" t="s">
        <v>1757</v>
      </c>
    </row>
    <row r="678">
      <c r="A678" s="110" t="s">
        <v>1420</v>
      </c>
      <c r="B678" s="104">
        <v>0.0</v>
      </c>
      <c r="C678" s="110" t="s">
        <v>261</v>
      </c>
      <c r="D678" s="110" t="s">
        <v>217</v>
      </c>
      <c r="E678" s="104">
        <v>0.0</v>
      </c>
      <c r="F678" s="104">
        <v>46.0</v>
      </c>
      <c r="G678" s="110" t="s">
        <v>238</v>
      </c>
      <c r="H678" s="112">
        <v>45916.0</v>
      </c>
      <c r="I678" s="110" t="s">
        <v>1758</v>
      </c>
      <c r="J678" s="104">
        <v>0.0</v>
      </c>
      <c r="K678" s="110" t="s">
        <v>1759</v>
      </c>
      <c r="L678" s="110" t="s">
        <v>1760</v>
      </c>
    </row>
    <row r="679">
      <c r="A679" s="110" t="s">
        <v>1423</v>
      </c>
      <c r="B679" s="104">
        <v>0.0</v>
      </c>
      <c r="C679" s="110" t="s">
        <v>266</v>
      </c>
      <c r="D679" s="110" t="s">
        <v>267</v>
      </c>
      <c r="E679" s="104">
        <v>0.0</v>
      </c>
      <c r="F679" s="104">
        <v>3.5</v>
      </c>
      <c r="G679" s="110" t="s">
        <v>268</v>
      </c>
      <c r="H679" s="112">
        <v>45930.0</v>
      </c>
      <c r="I679" s="104">
        <v>0.0</v>
      </c>
      <c r="J679" s="104">
        <v>0.0</v>
      </c>
      <c r="K679" s="110" t="s">
        <v>1761</v>
      </c>
      <c r="L679" s="110" t="s">
        <v>1762</v>
      </c>
    </row>
    <row r="680">
      <c r="A680" s="110" t="s">
        <v>1427</v>
      </c>
      <c r="B680" s="104">
        <v>0.0</v>
      </c>
      <c r="C680" s="110" t="s">
        <v>266</v>
      </c>
      <c r="D680" s="110" t="s">
        <v>217</v>
      </c>
      <c r="E680" s="104">
        <v>0.0</v>
      </c>
      <c r="F680" s="104">
        <v>21.0</v>
      </c>
      <c r="G680" s="110" t="s">
        <v>268</v>
      </c>
      <c r="H680" s="112">
        <v>45930.0</v>
      </c>
      <c r="I680" s="104">
        <v>0.0</v>
      </c>
      <c r="J680" s="104">
        <v>0.0</v>
      </c>
      <c r="K680" s="110" t="s">
        <v>1763</v>
      </c>
      <c r="L680" s="110" t="s">
        <v>1764</v>
      </c>
    </row>
    <row r="681">
      <c r="A681" s="110" t="s">
        <v>1427</v>
      </c>
      <c r="B681" s="104">
        <v>0.0</v>
      </c>
      <c r="C681" s="110" t="s">
        <v>331</v>
      </c>
      <c r="D681" s="110" t="s">
        <v>217</v>
      </c>
      <c r="E681" s="104">
        <v>0.0</v>
      </c>
      <c r="F681" s="104">
        <v>24.0</v>
      </c>
      <c r="G681" s="110" t="s">
        <v>334</v>
      </c>
      <c r="H681" s="112">
        <v>45723.0</v>
      </c>
      <c r="I681" s="110" t="s">
        <v>1427</v>
      </c>
      <c r="J681" s="104">
        <v>0.0</v>
      </c>
      <c r="K681" s="110" t="s">
        <v>1765</v>
      </c>
      <c r="L681" s="110" t="s">
        <v>1766</v>
      </c>
    </row>
    <row r="682">
      <c r="A682" s="110" t="s">
        <v>1427</v>
      </c>
      <c r="B682" s="104">
        <v>0.0</v>
      </c>
      <c r="C682" s="110" t="s">
        <v>209</v>
      </c>
      <c r="D682" s="110" t="s">
        <v>217</v>
      </c>
      <c r="E682" s="104">
        <v>0.0</v>
      </c>
      <c r="F682" s="104">
        <v>0.0</v>
      </c>
      <c r="G682" s="104">
        <v>0.0</v>
      </c>
      <c r="H682" s="104" t="s">
        <v>232</v>
      </c>
      <c r="I682" s="104">
        <v>0.0</v>
      </c>
      <c r="J682" s="104">
        <v>0.0</v>
      </c>
      <c r="K682" s="110" t="s">
        <v>1767</v>
      </c>
      <c r="L682" s="110" t="s">
        <v>1768</v>
      </c>
    </row>
    <row r="683">
      <c r="A683" s="110" t="s">
        <v>1430</v>
      </c>
      <c r="B683" s="104">
        <v>0.0</v>
      </c>
      <c r="C683" s="110" t="s">
        <v>331</v>
      </c>
      <c r="D683" s="110" t="s">
        <v>217</v>
      </c>
      <c r="E683" s="104">
        <v>0.0</v>
      </c>
      <c r="F683" s="104">
        <v>35.0</v>
      </c>
      <c r="G683" s="110" t="s">
        <v>238</v>
      </c>
      <c r="H683" s="112">
        <v>45883.0</v>
      </c>
      <c r="I683" s="110" t="s">
        <v>1427</v>
      </c>
      <c r="J683" s="104">
        <v>0.0</v>
      </c>
      <c r="K683" s="110" t="s">
        <v>1769</v>
      </c>
      <c r="L683" s="110" t="s">
        <v>1770</v>
      </c>
    </row>
    <row r="684">
      <c r="A684" s="110" t="s">
        <v>1432</v>
      </c>
      <c r="B684" s="104">
        <v>0.0</v>
      </c>
      <c r="C684" s="110" t="s">
        <v>317</v>
      </c>
      <c r="D684" s="110" t="s">
        <v>217</v>
      </c>
      <c r="E684" s="104">
        <v>0.0</v>
      </c>
      <c r="F684" s="104">
        <v>23.0</v>
      </c>
      <c r="G684" s="104">
        <v>0.0</v>
      </c>
      <c r="H684" s="112">
        <v>45874.0</v>
      </c>
      <c r="I684" s="104">
        <v>0.0</v>
      </c>
      <c r="J684" s="104">
        <v>0.0</v>
      </c>
      <c r="K684" s="110" t="s">
        <v>1771</v>
      </c>
      <c r="L684" s="110" t="s">
        <v>1772</v>
      </c>
    </row>
    <row r="685">
      <c r="A685" s="110" t="s">
        <v>1434</v>
      </c>
      <c r="B685" s="104">
        <v>0.0</v>
      </c>
      <c r="C685" s="110" t="s">
        <v>588</v>
      </c>
      <c r="D685" s="110" t="s">
        <v>201</v>
      </c>
      <c r="E685" s="104">
        <v>25.0</v>
      </c>
      <c r="F685" s="104">
        <v>0.0</v>
      </c>
      <c r="G685" s="110" t="s">
        <v>238</v>
      </c>
      <c r="H685" s="112">
        <v>45987.0</v>
      </c>
      <c r="I685" s="110" t="s">
        <v>1434</v>
      </c>
      <c r="J685" s="104">
        <v>0.0</v>
      </c>
      <c r="K685" s="110" t="s">
        <v>1773</v>
      </c>
      <c r="L685" s="110" t="s">
        <v>1774</v>
      </c>
    </row>
    <row r="686">
      <c r="A686" s="110" t="s">
        <v>1436</v>
      </c>
      <c r="B686" s="104">
        <v>0.0</v>
      </c>
      <c r="C686" s="110" t="s">
        <v>209</v>
      </c>
      <c r="D686" s="110" t="s">
        <v>201</v>
      </c>
      <c r="E686" s="104">
        <v>5.75</v>
      </c>
      <c r="F686" s="104">
        <v>5.75</v>
      </c>
      <c r="G686" s="110" t="s">
        <v>238</v>
      </c>
      <c r="H686" s="112">
        <v>45992.0</v>
      </c>
      <c r="I686" s="110" t="s">
        <v>1436</v>
      </c>
      <c r="J686" s="104">
        <v>0.0</v>
      </c>
      <c r="K686" s="110" t="s">
        <v>1775</v>
      </c>
      <c r="L686" s="110" t="s">
        <v>1776</v>
      </c>
    </row>
    <row r="687">
      <c r="A687" s="110" t="s">
        <v>1438</v>
      </c>
      <c r="B687" s="104">
        <v>0.0</v>
      </c>
      <c r="C687" s="110" t="s">
        <v>588</v>
      </c>
      <c r="D687" s="110" t="s">
        <v>201</v>
      </c>
      <c r="E687" s="104">
        <v>25.0</v>
      </c>
      <c r="F687" s="104">
        <v>15.0</v>
      </c>
      <c r="G687" s="110" t="s">
        <v>238</v>
      </c>
      <c r="H687" s="112">
        <v>45987.0</v>
      </c>
      <c r="I687" s="110" t="s">
        <v>1438</v>
      </c>
      <c r="J687" s="104">
        <v>0.0</v>
      </c>
      <c r="K687" s="110" t="s">
        <v>1777</v>
      </c>
      <c r="L687" s="110" t="s">
        <v>1778</v>
      </c>
    </row>
    <row r="688">
      <c r="A688" s="110" t="s">
        <v>1438</v>
      </c>
      <c r="B688" s="104">
        <v>0.0</v>
      </c>
      <c r="C688" s="110" t="s">
        <v>209</v>
      </c>
      <c r="D688" s="110" t="s">
        <v>217</v>
      </c>
      <c r="E688" s="104">
        <v>0.0</v>
      </c>
      <c r="F688" s="104">
        <v>18.5</v>
      </c>
      <c r="G688" s="110" t="s">
        <v>238</v>
      </c>
      <c r="H688" s="112">
        <v>45733.0</v>
      </c>
      <c r="I688" s="110" t="s">
        <v>1779</v>
      </c>
      <c r="J688" s="104">
        <v>0.0</v>
      </c>
      <c r="K688" s="110" t="s">
        <v>1780</v>
      </c>
      <c r="L688" s="110" t="s">
        <v>1781</v>
      </c>
    </row>
    <row r="689">
      <c r="A689" s="110" t="s">
        <v>1440</v>
      </c>
      <c r="B689" s="104">
        <v>0.0</v>
      </c>
      <c r="C689" s="110" t="s">
        <v>209</v>
      </c>
      <c r="D689" s="110" t="s">
        <v>201</v>
      </c>
      <c r="E689" s="104">
        <v>17.5</v>
      </c>
      <c r="F689" s="104">
        <v>17.5</v>
      </c>
      <c r="G689" s="110" t="s">
        <v>238</v>
      </c>
      <c r="H689" s="112">
        <v>45992.0</v>
      </c>
      <c r="I689" s="110" t="s">
        <v>1440</v>
      </c>
      <c r="J689" s="104">
        <v>0.0</v>
      </c>
      <c r="K689" s="110" t="s">
        <v>1782</v>
      </c>
      <c r="L689" s="110" t="s">
        <v>1783</v>
      </c>
    </row>
    <row r="690">
      <c r="A690" s="110" t="s">
        <v>1442</v>
      </c>
      <c r="B690" s="104">
        <v>0.0</v>
      </c>
      <c r="C690" s="110" t="s">
        <v>331</v>
      </c>
      <c r="D690" s="110" t="s">
        <v>201</v>
      </c>
      <c r="E690" s="104">
        <v>0.0</v>
      </c>
      <c r="F690" s="104">
        <v>21.0</v>
      </c>
      <c r="G690" s="110" t="s">
        <v>540</v>
      </c>
      <c r="H690" s="112">
        <v>45987.0</v>
      </c>
      <c r="I690" s="110" t="s">
        <v>1442</v>
      </c>
      <c r="J690" s="104">
        <v>0.0</v>
      </c>
      <c r="K690" s="110" t="s">
        <v>1784</v>
      </c>
      <c r="L690" s="110" t="s">
        <v>1785</v>
      </c>
    </row>
    <row r="691">
      <c r="A691" s="110" t="s">
        <v>1444</v>
      </c>
      <c r="B691" s="104">
        <v>0.0</v>
      </c>
      <c r="C691" s="110" t="s">
        <v>266</v>
      </c>
      <c r="D691" s="110" t="s">
        <v>217</v>
      </c>
      <c r="E691" s="104">
        <v>0.0</v>
      </c>
      <c r="F691" s="104">
        <v>7.95</v>
      </c>
      <c r="G691" s="110" t="s">
        <v>268</v>
      </c>
      <c r="H691" s="112">
        <v>45930.0</v>
      </c>
      <c r="I691" s="104">
        <v>0.0</v>
      </c>
      <c r="J691" s="104">
        <v>0.0</v>
      </c>
      <c r="K691" s="110" t="s">
        <v>1786</v>
      </c>
      <c r="L691" s="110" t="s">
        <v>1787</v>
      </c>
    </row>
    <row r="692">
      <c r="A692" s="110" t="s">
        <v>1444</v>
      </c>
      <c r="B692" s="104">
        <v>0.0</v>
      </c>
      <c r="C692" s="110" t="s">
        <v>365</v>
      </c>
      <c r="D692" s="110" t="s">
        <v>217</v>
      </c>
      <c r="E692" s="104">
        <v>0.0</v>
      </c>
      <c r="F692" s="104">
        <v>0.0</v>
      </c>
      <c r="G692" s="104">
        <v>0.0</v>
      </c>
      <c r="H692" s="104" t="s">
        <v>232</v>
      </c>
      <c r="I692" s="104">
        <v>0.0</v>
      </c>
      <c r="J692" s="104">
        <v>0.0</v>
      </c>
      <c r="K692" s="110" t="s">
        <v>1788</v>
      </c>
      <c r="L692" s="110" t="s">
        <v>1789</v>
      </c>
    </row>
    <row r="693">
      <c r="A693" s="110" t="s">
        <v>1444</v>
      </c>
      <c r="B693" s="104">
        <v>0.0</v>
      </c>
      <c r="C693" s="110" t="s">
        <v>209</v>
      </c>
      <c r="D693" s="110" t="s">
        <v>217</v>
      </c>
      <c r="E693" s="104">
        <v>0.0</v>
      </c>
      <c r="F693" s="104">
        <v>11.5</v>
      </c>
      <c r="G693" s="110" t="s">
        <v>238</v>
      </c>
      <c r="H693" s="112">
        <v>45834.0</v>
      </c>
      <c r="I693" s="110" t="s">
        <v>1444</v>
      </c>
      <c r="J693" s="104">
        <v>0.0</v>
      </c>
      <c r="K693" s="110" t="s">
        <v>1790</v>
      </c>
      <c r="L693" s="110" t="s">
        <v>1791</v>
      </c>
    </row>
    <row r="694">
      <c r="A694" s="110" t="s">
        <v>1446</v>
      </c>
      <c r="B694" s="104">
        <v>0.0</v>
      </c>
      <c r="C694" s="110" t="s">
        <v>588</v>
      </c>
      <c r="D694" s="110" t="s">
        <v>201</v>
      </c>
      <c r="E694" s="104">
        <v>25.0</v>
      </c>
      <c r="F694" s="104">
        <v>6.0</v>
      </c>
      <c r="G694" s="110" t="s">
        <v>238</v>
      </c>
      <c r="H694" s="112">
        <v>45987.0</v>
      </c>
      <c r="I694" s="110" t="s">
        <v>1446</v>
      </c>
      <c r="J694" s="104">
        <v>0.0</v>
      </c>
      <c r="K694" s="110" t="s">
        <v>1792</v>
      </c>
      <c r="L694" s="110" t="s">
        <v>1793</v>
      </c>
    </row>
    <row r="695">
      <c r="A695" s="110" t="s">
        <v>1446</v>
      </c>
      <c r="B695" s="104">
        <v>0.0</v>
      </c>
      <c r="C695" s="110" t="s">
        <v>209</v>
      </c>
      <c r="D695" s="110" t="s">
        <v>217</v>
      </c>
      <c r="E695" s="104">
        <v>0.0</v>
      </c>
      <c r="F695" s="104">
        <v>0.0</v>
      </c>
      <c r="G695" s="104">
        <v>0.0</v>
      </c>
      <c r="H695" s="104" t="s">
        <v>232</v>
      </c>
      <c r="I695" s="104">
        <v>0.0</v>
      </c>
      <c r="J695" s="104">
        <v>0.0</v>
      </c>
      <c r="K695" s="110" t="s">
        <v>1794</v>
      </c>
      <c r="L695" s="110" t="s">
        <v>1795</v>
      </c>
    </row>
    <row r="696">
      <c r="A696" s="110" t="s">
        <v>1448</v>
      </c>
      <c r="B696" s="104">
        <v>0.0</v>
      </c>
      <c r="C696" s="110" t="s">
        <v>551</v>
      </c>
      <c r="D696" s="110" t="s">
        <v>544</v>
      </c>
      <c r="E696" s="104">
        <v>0.0</v>
      </c>
      <c r="F696" s="104">
        <v>36.82</v>
      </c>
      <c r="G696" s="110" t="s">
        <v>206</v>
      </c>
      <c r="H696" s="112">
        <v>45904.0</v>
      </c>
      <c r="I696" s="110" t="s">
        <v>1448</v>
      </c>
      <c r="J696" s="104">
        <v>0.0</v>
      </c>
      <c r="K696" s="110" t="s">
        <v>1796</v>
      </c>
      <c r="L696" s="110" t="s">
        <v>1797</v>
      </c>
    </row>
    <row r="697">
      <c r="A697" s="110" t="s">
        <v>1450</v>
      </c>
      <c r="B697" s="104">
        <v>0.0</v>
      </c>
      <c r="C697" s="110" t="s">
        <v>386</v>
      </c>
      <c r="D697" s="110" t="s">
        <v>210</v>
      </c>
      <c r="E697" s="104">
        <v>0.0</v>
      </c>
      <c r="F697" s="104">
        <v>215.0</v>
      </c>
      <c r="G697" s="110" t="s">
        <v>345</v>
      </c>
      <c r="H697" s="112">
        <v>45982.0</v>
      </c>
      <c r="I697" s="110" t="s">
        <v>1450</v>
      </c>
      <c r="J697" s="104">
        <v>0.0</v>
      </c>
      <c r="K697" s="110" t="s">
        <v>1798</v>
      </c>
      <c r="L697" s="110" t="s">
        <v>1799</v>
      </c>
    </row>
    <row r="698">
      <c r="A698" s="110" t="s">
        <v>1452</v>
      </c>
      <c r="B698" s="104">
        <v>0.0</v>
      </c>
      <c r="C698" s="110" t="s">
        <v>331</v>
      </c>
      <c r="D698" s="110" t="s">
        <v>210</v>
      </c>
      <c r="E698" s="104">
        <v>0.0</v>
      </c>
      <c r="F698" s="104">
        <v>130.0</v>
      </c>
      <c r="G698" s="110" t="s">
        <v>238</v>
      </c>
      <c r="H698" s="112">
        <v>45982.0</v>
      </c>
      <c r="I698" s="110" t="s">
        <v>1452</v>
      </c>
      <c r="J698" s="104">
        <v>0.0</v>
      </c>
      <c r="K698" s="110" t="s">
        <v>1800</v>
      </c>
      <c r="L698" s="110" t="s">
        <v>1801</v>
      </c>
    </row>
    <row r="699">
      <c r="A699" s="110" t="s">
        <v>1454</v>
      </c>
      <c r="B699" s="104">
        <v>0.0</v>
      </c>
      <c r="C699" s="110" t="s">
        <v>209</v>
      </c>
      <c r="D699" s="110" t="s">
        <v>210</v>
      </c>
      <c r="E699" s="104">
        <v>0.0</v>
      </c>
      <c r="F699" s="104">
        <v>270.0</v>
      </c>
      <c r="G699" s="110" t="s">
        <v>211</v>
      </c>
      <c r="H699" s="112">
        <v>45985.0</v>
      </c>
      <c r="I699" s="104">
        <v>0.0</v>
      </c>
      <c r="J699" s="104">
        <v>0.0</v>
      </c>
      <c r="K699" s="110" t="s">
        <v>1802</v>
      </c>
      <c r="L699" s="110" t="s">
        <v>1803</v>
      </c>
    </row>
    <row r="700">
      <c r="A700" s="110" t="s">
        <v>1456</v>
      </c>
      <c r="B700" s="104">
        <v>0.0</v>
      </c>
      <c r="C700" s="110" t="s">
        <v>221</v>
      </c>
      <c r="D700" s="104">
        <v>0.0</v>
      </c>
      <c r="E700" s="104">
        <v>0.0</v>
      </c>
      <c r="F700" s="104">
        <v>1.63</v>
      </c>
      <c r="G700" s="110" t="s">
        <v>257</v>
      </c>
      <c r="H700" s="112">
        <v>45807.0</v>
      </c>
      <c r="I700" s="104">
        <v>0.0</v>
      </c>
      <c r="J700" s="104">
        <v>0.0</v>
      </c>
      <c r="K700" s="110" t="s">
        <v>1804</v>
      </c>
      <c r="L700" s="110" t="s">
        <v>1805</v>
      </c>
    </row>
    <row r="701">
      <c r="A701" s="110" t="s">
        <v>1458</v>
      </c>
      <c r="B701" s="104">
        <v>0.0</v>
      </c>
      <c r="C701" s="110" t="s">
        <v>221</v>
      </c>
      <c r="D701" s="110" t="s">
        <v>612</v>
      </c>
      <c r="E701" s="104">
        <v>0.0</v>
      </c>
      <c r="F701" s="104">
        <v>1.63</v>
      </c>
      <c r="G701" s="110" t="s">
        <v>328</v>
      </c>
      <c r="H701" s="112">
        <v>45854.0</v>
      </c>
      <c r="I701" s="104">
        <v>0.0</v>
      </c>
      <c r="J701" s="104">
        <v>0.0</v>
      </c>
      <c r="K701" s="110" t="s">
        <v>1806</v>
      </c>
      <c r="L701" s="110" t="s">
        <v>1807</v>
      </c>
    </row>
    <row r="702">
      <c r="A702" s="110" t="s">
        <v>1460</v>
      </c>
      <c r="B702" s="104">
        <v>0.0</v>
      </c>
      <c r="C702" s="110" t="s">
        <v>221</v>
      </c>
      <c r="D702" s="110" t="s">
        <v>217</v>
      </c>
      <c r="E702" s="104">
        <v>0.0</v>
      </c>
      <c r="F702" s="104">
        <v>1.63</v>
      </c>
      <c r="G702" s="110" t="s">
        <v>625</v>
      </c>
      <c r="H702" s="112">
        <v>45849.0</v>
      </c>
      <c r="I702" s="110" t="s">
        <v>1456</v>
      </c>
      <c r="J702" s="104">
        <v>0.0</v>
      </c>
      <c r="K702" s="110" t="s">
        <v>1808</v>
      </c>
      <c r="L702" s="110" t="s">
        <v>1809</v>
      </c>
    </row>
    <row r="703">
      <c r="A703" s="110" t="s">
        <v>1462</v>
      </c>
      <c r="B703" s="104">
        <v>0.0</v>
      </c>
      <c r="C703" s="110" t="s">
        <v>331</v>
      </c>
      <c r="D703" s="110" t="s">
        <v>210</v>
      </c>
      <c r="E703" s="104">
        <v>0.0</v>
      </c>
      <c r="F703" s="104">
        <v>16.0</v>
      </c>
      <c r="G703" s="110" t="s">
        <v>238</v>
      </c>
      <c r="H703" s="112">
        <v>45754.0</v>
      </c>
      <c r="I703" s="104">
        <v>0.0</v>
      </c>
      <c r="J703" s="104">
        <v>0.0</v>
      </c>
      <c r="K703" s="110" t="s">
        <v>1810</v>
      </c>
      <c r="L703" s="110" t="s">
        <v>1811</v>
      </c>
    </row>
    <row r="704">
      <c r="A704" s="110" t="s">
        <v>1464</v>
      </c>
      <c r="B704" s="104">
        <v>0.0</v>
      </c>
      <c r="C704" s="110" t="s">
        <v>1812</v>
      </c>
      <c r="D704" s="110" t="s">
        <v>544</v>
      </c>
      <c r="E704" s="104">
        <v>0.0</v>
      </c>
      <c r="F704" s="104">
        <v>109.09</v>
      </c>
      <c r="G704" s="110" t="s">
        <v>1813</v>
      </c>
      <c r="H704" s="112">
        <v>45930.0</v>
      </c>
      <c r="I704" s="104">
        <v>0.0</v>
      </c>
      <c r="J704" s="104">
        <v>0.0</v>
      </c>
      <c r="K704" s="110" t="s">
        <v>1814</v>
      </c>
      <c r="L704" s="110" t="s">
        <v>1815</v>
      </c>
    </row>
    <row r="705">
      <c r="A705" s="110" t="s">
        <v>1466</v>
      </c>
      <c r="B705" s="104">
        <v>0.0</v>
      </c>
      <c r="C705" s="110" t="s">
        <v>317</v>
      </c>
      <c r="D705" s="110" t="s">
        <v>322</v>
      </c>
      <c r="E705" s="104">
        <v>0.0</v>
      </c>
      <c r="F705" s="104">
        <v>14.0</v>
      </c>
      <c r="G705" s="104">
        <v>0.0</v>
      </c>
      <c r="H705" s="112">
        <v>45874.0</v>
      </c>
      <c r="I705" s="104">
        <v>0.0</v>
      </c>
      <c r="J705" s="104">
        <v>0.0</v>
      </c>
      <c r="K705" s="110" t="s">
        <v>1816</v>
      </c>
      <c r="L705" s="110" t="s">
        <v>1817</v>
      </c>
    </row>
    <row r="706">
      <c r="A706" s="110" t="s">
        <v>1469</v>
      </c>
      <c r="B706" s="104">
        <v>0.0</v>
      </c>
      <c r="C706" s="110" t="s">
        <v>657</v>
      </c>
      <c r="D706" s="110" t="s">
        <v>322</v>
      </c>
      <c r="E706" s="104">
        <v>0.0</v>
      </c>
      <c r="F706" s="104">
        <v>22.71</v>
      </c>
      <c r="G706" s="110" t="s">
        <v>238</v>
      </c>
      <c r="H706" s="112">
        <v>45954.0</v>
      </c>
      <c r="I706" s="110" t="s">
        <v>1469</v>
      </c>
      <c r="J706" s="104">
        <v>0.0</v>
      </c>
      <c r="K706" s="110" t="s">
        <v>1818</v>
      </c>
      <c r="L706" s="110" t="s">
        <v>1819</v>
      </c>
    </row>
    <row r="707">
      <c r="A707" s="110" t="s">
        <v>1470</v>
      </c>
      <c r="B707" s="104">
        <v>0.0</v>
      </c>
      <c r="C707" s="110" t="s">
        <v>657</v>
      </c>
      <c r="D707" s="110" t="s">
        <v>217</v>
      </c>
      <c r="E707" s="104">
        <v>0.0</v>
      </c>
      <c r="F707" s="104">
        <v>0.0</v>
      </c>
      <c r="G707" s="110" t="s">
        <v>1820</v>
      </c>
      <c r="H707" s="112">
        <v>45825.0</v>
      </c>
      <c r="I707" s="110" t="s">
        <v>1821</v>
      </c>
      <c r="J707" s="104">
        <v>0.0</v>
      </c>
      <c r="K707" s="110" t="s">
        <v>1822</v>
      </c>
      <c r="L707" s="110" t="s">
        <v>1823</v>
      </c>
    </row>
    <row r="708">
      <c r="A708" s="110" t="s">
        <v>1473</v>
      </c>
      <c r="B708" s="104">
        <v>0.0</v>
      </c>
      <c r="C708" s="110" t="s">
        <v>657</v>
      </c>
      <c r="D708" s="110" t="s">
        <v>217</v>
      </c>
      <c r="E708" s="104">
        <v>0.0</v>
      </c>
      <c r="F708" s="104">
        <v>0.0</v>
      </c>
      <c r="G708" s="110" t="s">
        <v>1824</v>
      </c>
      <c r="H708" s="112">
        <v>45825.0</v>
      </c>
      <c r="I708" s="110" t="s">
        <v>1825</v>
      </c>
      <c r="J708" s="104">
        <v>0.0</v>
      </c>
      <c r="K708" s="110" t="s">
        <v>1826</v>
      </c>
      <c r="L708" s="110" t="s">
        <v>1827</v>
      </c>
    </row>
    <row r="709">
      <c r="A709" s="110" t="s">
        <v>1477</v>
      </c>
      <c r="B709" s="104">
        <v>0.0</v>
      </c>
      <c r="C709" s="110" t="s">
        <v>261</v>
      </c>
      <c r="D709" s="110" t="s">
        <v>322</v>
      </c>
      <c r="E709" s="104">
        <v>0.0</v>
      </c>
      <c r="F709" s="104">
        <v>4.75</v>
      </c>
      <c r="G709" s="110" t="s">
        <v>334</v>
      </c>
      <c r="H709" s="112">
        <v>45746.0</v>
      </c>
      <c r="I709" s="104">
        <v>0.0</v>
      </c>
      <c r="J709" s="104">
        <v>0.0</v>
      </c>
      <c r="K709" s="110" t="s">
        <v>1828</v>
      </c>
      <c r="L709" s="110" t="s">
        <v>1829</v>
      </c>
    </row>
    <row r="710">
      <c r="A710" s="110" t="s">
        <v>1477</v>
      </c>
      <c r="B710" s="104">
        <v>0.0</v>
      </c>
      <c r="C710" s="110" t="s">
        <v>261</v>
      </c>
      <c r="D710" s="110" t="s">
        <v>322</v>
      </c>
      <c r="E710" s="104">
        <v>0.0</v>
      </c>
      <c r="F710" s="104">
        <v>4.05</v>
      </c>
      <c r="G710" s="110" t="s">
        <v>1830</v>
      </c>
      <c r="H710" s="112">
        <v>45746.0</v>
      </c>
      <c r="I710" s="104">
        <v>0.0</v>
      </c>
      <c r="J710" s="104">
        <v>0.0</v>
      </c>
      <c r="K710" s="110" t="s">
        <v>1828</v>
      </c>
      <c r="L710" s="110" t="s">
        <v>1831</v>
      </c>
    </row>
    <row r="711">
      <c r="A711" s="110" t="s">
        <v>1479</v>
      </c>
      <c r="B711" s="104">
        <v>0.0</v>
      </c>
      <c r="C711" s="110" t="s">
        <v>562</v>
      </c>
      <c r="D711" s="110" t="s">
        <v>322</v>
      </c>
      <c r="E711" s="104">
        <v>0.0</v>
      </c>
      <c r="F711" s="104">
        <v>6.8</v>
      </c>
      <c r="G711" s="110" t="s">
        <v>238</v>
      </c>
      <c r="H711" s="112">
        <v>45744.0</v>
      </c>
      <c r="I711" s="110" t="s">
        <v>1832</v>
      </c>
      <c r="J711" s="104">
        <v>0.0</v>
      </c>
      <c r="K711" s="110" t="s">
        <v>1833</v>
      </c>
      <c r="L711" s="110" t="s">
        <v>1834</v>
      </c>
    </row>
    <row r="712">
      <c r="A712" s="110" t="s">
        <v>1483</v>
      </c>
      <c r="B712" s="104">
        <v>0.0</v>
      </c>
      <c r="C712" s="110" t="s">
        <v>562</v>
      </c>
      <c r="D712" s="110" t="s">
        <v>322</v>
      </c>
      <c r="E712" s="104">
        <v>0.0</v>
      </c>
      <c r="F712" s="104">
        <v>12.0</v>
      </c>
      <c r="G712" s="110" t="s">
        <v>238</v>
      </c>
      <c r="H712" s="112">
        <v>45846.0</v>
      </c>
      <c r="I712" s="110" t="s">
        <v>1483</v>
      </c>
      <c r="J712" s="104">
        <v>0.0</v>
      </c>
      <c r="K712" s="110" t="s">
        <v>1835</v>
      </c>
      <c r="L712" s="110" t="s">
        <v>1836</v>
      </c>
    </row>
    <row r="713">
      <c r="A713" s="110" t="s">
        <v>1486</v>
      </c>
      <c r="B713" s="104">
        <v>0.0</v>
      </c>
      <c r="C713" s="110" t="s">
        <v>337</v>
      </c>
      <c r="D713" s="110" t="s">
        <v>217</v>
      </c>
      <c r="E713" s="104">
        <v>0.0</v>
      </c>
      <c r="F713" s="104">
        <v>17.0</v>
      </c>
      <c r="G713" s="110" t="s">
        <v>238</v>
      </c>
      <c r="H713" s="112">
        <v>45636.0</v>
      </c>
      <c r="I713" s="110" t="s">
        <v>1486</v>
      </c>
      <c r="J713" s="104">
        <v>0.0</v>
      </c>
      <c r="K713" s="110" t="s">
        <v>1837</v>
      </c>
      <c r="L713" s="110" t="s">
        <v>1838</v>
      </c>
    </row>
    <row r="714">
      <c r="A714" s="110" t="s">
        <v>1488</v>
      </c>
      <c r="B714" s="104">
        <v>0.0</v>
      </c>
      <c r="C714" s="110" t="s">
        <v>1839</v>
      </c>
      <c r="D714" s="110" t="s">
        <v>322</v>
      </c>
      <c r="E714" s="104">
        <v>0.0</v>
      </c>
      <c r="F714" s="104">
        <v>17.07</v>
      </c>
      <c r="G714" s="110" t="s">
        <v>238</v>
      </c>
      <c r="H714" s="112">
        <v>45008.0</v>
      </c>
      <c r="I714" s="104">
        <v>0.0</v>
      </c>
      <c r="J714" s="104">
        <v>0.0</v>
      </c>
      <c r="K714" s="110" t="s">
        <v>1840</v>
      </c>
      <c r="L714" s="110" t="s">
        <v>1841</v>
      </c>
    </row>
    <row r="715">
      <c r="A715" s="110" t="s">
        <v>1491</v>
      </c>
      <c r="B715" s="104">
        <v>0.0</v>
      </c>
      <c r="C715" s="110" t="s">
        <v>535</v>
      </c>
      <c r="D715" s="110" t="s">
        <v>322</v>
      </c>
      <c r="E715" s="104">
        <v>0.0</v>
      </c>
      <c r="F715" s="104">
        <v>5.5</v>
      </c>
      <c r="G715" s="110" t="s">
        <v>1842</v>
      </c>
      <c r="H715" s="112">
        <v>45838.0</v>
      </c>
      <c r="I715" s="104">
        <v>0.0</v>
      </c>
      <c r="J715" s="104">
        <v>0.0</v>
      </c>
      <c r="K715" s="110" t="s">
        <v>1843</v>
      </c>
      <c r="L715" s="110" t="s">
        <v>1844</v>
      </c>
    </row>
    <row r="716">
      <c r="A716" s="110" t="s">
        <v>1491</v>
      </c>
      <c r="B716" s="104">
        <v>0.0</v>
      </c>
      <c r="C716" s="110" t="s">
        <v>535</v>
      </c>
      <c r="D716" s="110" t="s">
        <v>322</v>
      </c>
      <c r="E716" s="104">
        <v>0.0</v>
      </c>
      <c r="F716" s="104">
        <v>4.7</v>
      </c>
      <c r="G716" s="110" t="s">
        <v>1845</v>
      </c>
      <c r="H716" s="112">
        <v>45838.0</v>
      </c>
      <c r="I716" s="104">
        <v>0.0</v>
      </c>
      <c r="J716" s="104">
        <v>0.0</v>
      </c>
      <c r="K716" s="110" t="s">
        <v>1843</v>
      </c>
      <c r="L716" s="110" t="s">
        <v>1846</v>
      </c>
    </row>
    <row r="717">
      <c r="A717" s="110" t="s">
        <v>1493</v>
      </c>
      <c r="B717" s="104">
        <v>0.0</v>
      </c>
      <c r="C717" s="110" t="s">
        <v>331</v>
      </c>
      <c r="D717" s="110" t="s">
        <v>217</v>
      </c>
      <c r="E717" s="104">
        <v>0.0</v>
      </c>
      <c r="F717" s="104">
        <v>10.0</v>
      </c>
      <c r="G717" s="110" t="s">
        <v>218</v>
      </c>
      <c r="H717" s="112">
        <v>45723.0</v>
      </c>
      <c r="I717" s="104">
        <v>0.0</v>
      </c>
      <c r="J717" s="104">
        <v>0.0</v>
      </c>
      <c r="K717" s="110" t="s">
        <v>1847</v>
      </c>
      <c r="L717" s="110" t="s">
        <v>1848</v>
      </c>
    </row>
    <row r="718">
      <c r="A718" s="110" t="s">
        <v>1493</v>
      </c>
      <c r="B718" s="104">
        <v>0.0</v>
      </c>
      <c r="C718" s="110" t="s">
        <v>331</v>
      </c>
      <c r="D718" s="110" t="s">
        <v>217</v>
      </c>
      <c r="E718" s="104">
        <v>0.0</v>
      </c>
      <c r="F718" s="104">
        <v>9.0</v>
      </c>
      <c r="G718" s="110" t="s">
        <v>334</v>
      </c>
      <c r="H718" s="112">
        <v>45723.0</v>
      </c>
      <c r="I718" s="104">
        <v>0.0</v>
      </c>
      <c r="J718" s="104">
        <v>0.0</v>
      </c>
      <c r="K718" s="110" t="s">
        <v>1847</v>
      </c>
      <c r="L718" s="110" t="s">
        <v>1849</v>
      </c>
    </row>
    <row r="719">
      <c r="A719" s="110" t="s">
        <v>1495</v>
      </c>
      <c r="B719" s="104">
        <v>0.0</v>
      </c>
      <c r="C719" s="110" t="s">
        <v>337</v>
      </c>
      <c r="D719" s="110" t="s">
        <v>217</v>
      </c>
      <c r="E719" s="104">
        <v>0.0</v>
      </c>
      <c r="F719" s="104">
        <v>28.0</v>
      </c>
      <c r="G719" s="110" t="s">
        <v>238</v>
      </c>
      <c r="H719" s="112">
        <v>45618.0</v>
      </c>
      <c r="I719" s="104">
        <v>0.0</v>
      </c>
      <c r="J719" s="104">
        <v>0.0</v>
      </c>
      <c r="K719" s="110" t="s">
        <v>1850</v>
      </c>
      <c r="L719" s="110" t="s">
        <v>1851</v>
      </c>
    </row>
    <row r="720">
      <c r="A720" s="110" t="s">
        <v>1498</v>
      </c>
      <c r="B720" s="104">
        <v>0.0</v>
      </c>
      <c r="C720" s="110" t="s">
        <v>261</v>
      </c>
      <c r="D720" s="110" t="s">
        <v>322</v>
      </c>
      <c r="E720" s="104">
        <v>0.0</v>
      </c>
      <c r="F720" s="104">
        <v>19.0</v>
      </c>
      <c r="G720" s="110" t="s">
        <v>238</v>
      </c>
      <c r="H720" s="112">
        <v>45821.0</v>
      </c>
      <c r="I720" s="110" t="s">
        <v>1852</v>
      </c>
      <c r="J720" s="104">
        <v>0.0</v>
      </c>
      <c r="K720" s="110" t="s">
        <v>1853</v>
      </c>
      <c r="L720" s="110" t="s">
        <v>1854</v>
      </c>
    </row>
    <row r="721">
      <c r="A721" s="110" t="s">
        <v>1498</v>
      </c>
      <c r="B721" s="104">
        <v>0.0</v>
      </c>
      <c r="C721" s="110" t="s">
        <v>261</v>
      </c>
      <c r="D721" s="110" t="s">
        <v>322</v>
      </c>
      <c r="E721" s="104">
        <v>0.0</v>
      </c>
      <c r="F721" s="104">
        <v>16.5</v>
      </c>
      <c r="G721" s="110" t="s">
        <v>262</v>
      </c>
      <c r="H721" s="112">
        <v>45821.0</v>
      </c>
      <c r="I721" s="110" t="s">
        <v>1852</v>
      </c>
      <c r="J721" s="104">
        <v>0.0</v>
      </c>
      <c r="K721" s="110" t="s">
        <v>1853</v>
      </c>
      <c r="L721" s="110" t="s">
        <v>1855</v>
      </c>
    </row>
    <row r="722">
      <c r="A722" s="110" t="s">
        <v>1498</v>
      </c>
      <c r="B722" s="104">
        <v>0.0</v>
      </c>
      <c r="C722" s="110" t="s">
        <v>261</v>
      </c>
      <c r="D722" s="110" t="s">
        <v>322</v>
      </c>
      <c r="E722" s="104">
        <v>0.0</v>
      </c>
      <c r="F722" s="104">
        <v>14.5</v>
      </c>
      <c r="G722" s="110" t="s">
        <v>334</v>
      </c>
      <c r="H722" s="112">
        <v>45821.0</v>
      </c>
      <c r="I722" s="110" t="s">
        <v>1852</v>
      </c>
      <c r="J722" s="104">
        <v>0.0</v>
      </c>
      <c r="K722" s="110" t="s">
        <v>1853</v>
      </c>
      <c r="L722" s="110" t="s">
        <v>1856</v>
      </c>
    </row>
    <row r="723">
      <c r="A723" s="110" t="s">
        <v>1500</v>
      </c>
      <c r="B723" s="104">
        <v>0.0</v>
      </c>
      <c r="C723" s="110" t="s">
        <v>317</v>
      </c>
      <c r="D723" s="110" t="s">
        <v>322</v>
      </c>
      <c r="E723" s="104">
        <v>0.0</v>
      </c>
      <c r="F723" s="104">
        <v>12.0</v>
      </c>
      <c r="G723" s="104">
        <v>0.0</v>
      </c>
      <c r="H723" s="112">
        <v>45874.0</v>
      </c>
      <c r="I723" s="104">
        <v>0.0</v>
      </c>
      <c r="J723" s="104">
        <v>0.0</v>
      </c>
      <c r="K723" s="110" t="s">
        <v>1857</v>
      </c>
      <c r="L723" s="110" t="s">
        <v>1858</v>
      </c>
    </row>
    <row r="724">
      <c r="A724" s="110" t="s">
        <v>1502</v>
      </c>
      <c r="B724" s="104">
        <v>0.0</v>
      </c>
      <c r="C724" s="110" t="s">
        <v>209</v>
      </c>
      <c r="D724" s="110" t="s">
        <v>217</v>
      </c>
      <c r="E724" s="104">
        <v>0.0</v>
      </c>
      <c r="F724" s="104">
        <v>0.0</v>
      </c>
      <c r="G724" s="104">
        <v>0.0</v>
      </c>
      <c r="H724" s="104" t="s">
        <v>232</v>
      </c>
      <c r="I724" s="104">
        <v>0.0</v>
      </c>
      <c r="J724" s="104">
        <v>0.0</v>
      </c>
      <c r="K724" s="110" t="s">
        <v>1859</v>
      </c>
      <c r="L724" s="110" t="s">
        <v>1860</v>
      </c>
    </row>
    <row r="725">
      <c r="A725" s="110" t="s">
        <v>1504</v>
      </c>
      <c r="B725" s="110" t="s">
        <v>1861</v>
      </c>
      <c r="C725" s="110" t="s">
        <v>618</v>
      </c>
      <c r="D725" s="110" t="s">
        <v>322</v>
      </c>
      <c r="E725" s="104">
        <v>0.0</v>
      </c>
      <c r="F725" s="104">
        <v>13.56</v>
      </c>
      <c r="G725" s="110" t="s">
        <v>238</v>
      </c>
      <c r="H725" s="112">
        <v>45819.0</v>
      </c>
      <c r="I725" s="104">
        <v>0.0</v>
      </c>
      <c r="J725" s="104">
        <v>0.0</v>
      </c>
      <c r="K725" s="110" t="s">
        <v>1862</v>
      </c>
      <c r="L725" s="110" t="s">
        <v>1863</v>
      </c>
    </row>
    <row r="726">
      <c r="A726" s="110" t="s">
        <v>1504</v>
      </c>
      <c r="B726" s="104">
        <v>0.0</v>
      </c>
      <c r="C726" s="110" t="s">
        <v>261</v>
      </c>
      <c r="D726" s="110" t="s">
        <v>322</v>
      </c>
      <c r="E726" s="104">
        <v>0.0</v>
      </c>
      <c r="F726" s="104">
        <v>34.5</v>
      </c>
      <c r="G726" s="110" t="s">
        <v>238</v>
      </c>
      <c r="H726" s="112">
        <v>45883.0</v>
      </c>
      <c r="I726" s="110" t="s">
        <v>1504</v>
      </c>
      <c r="J726" s="104">
        <v>0.0</v>
      </c>
      <c r="K726" s="110" t="s">
        <v>1864</v>
      </c>
      <c r="L726" s="110" t="s">
        <v>1865</v>
      </c>
    </row>
    <row r="727">
      <c r="A727" s="110" t="s">
        <v>1504</v>
      </c>
      <c r="B727" s="104">
        <v>0.0</v>
      </c>
      <c r="C727" s="110" t="s">
        <v>261</v>
      </c>
      <c r="D727" s="110" t="s">
        <v>322</v>
      </c>
      <c r="E727" s="104">
        <v>0.0</v>
      </c>
      <c r="F727" s="104">
        <v>15.3</v>
      </c>
      <c r="G727" s="110" t="s">
        <v>334</v>
      </c>
      <c r="H727" s="112">
        <v>45806.0</v>
      </c>
      <c r="I727" s="110" t="s">
        <v>1504</v>
      </c>
      <c r="J727" s="104">
        <v>0.0</v>
      </c>
      <c r="K727" s="110" t="s">
        <v>1864</v>
      </c>
      <c r="L727" s="110" t="s">
        <v>1866</v>
      </c>
    </row>
    <row r="728">
      <c r="A728" s="110" t="s">
        <v>1504</v>
      </c>
      <c r="B728" s="104">
        <v>0.0</v>
      </c>
      <c r="C728" s="110" t="s">
        <v>261</v>
      </c>
      <c r="D728" s="110" t="s">
        <v>322</v>
      </c>
      <c r="E728" s="104">
        <v>0.0</v>
      </c>
      <c r="F728" s="104">
        <v>13.25</v>
      </c>
      <c r="G728" s="110" t="s">
        <v>268</v>
      </c>
      <c r="H728" s="112">
        <v>45806.0</v>
      </c>
      <c r="I728" s="110" t="s">
        <v>1504</v>
      </c>
      <c r="J728" s="104">
        <v>0.0</v>
      </c>
      <c r="K728" s="110" t="s">
        <v>1864</v>
      </c>
      <c r="L728" s="110" t="s">
        <v>1867</v>
      </c>
    </row>
    <row r="729">
      <c r="A729" s="110" t="s">
        <v>1504</v>
      </c>
      <c r="B729" s="104">
        <v>0.0</v>
      </c>
      <c r="C729" s="110" t="s">
        <v>261</v>
      </c>
      <c r="D729" s="110" t="s">
        <v>322</v>
      </c>
      <c r="E729" s="104">
        <v>0.0</v>
      </c>
      <c r="F729" s="104">
        <v>12.75</v>
      </c>
      <c r="G729" s="110" t="s">
        <v>688</v>
      </c>
      <c r="H729" s="112">
        <v>45806.0</v>
      </c>
      <c r="I729" s="110" t="s">
        <v>1504</v>
      </c>
      <c r="J729" s="104">
        <v>0.0</v>
      </c>
      <c r="K729" s="110" t="s">
        <v>1864</v>
      </c>
      <c r="L729" s="110" t="s">
        <v>1868</v>
      </c>
    </row>
    <row r="730">
      <c r="A730" s="110" t="s">
        <v>1506</v>
      </c>
      <c r="B730" s="104">
        <v>0.0</v>
      </c>
      <c r="C730" s="110" t="s">
        <v>1869</v>
      </c>
      <c r="D730" s="110" t="s">
        <v>322</v>
      </c>
      <c r="E730" s="104">
        <v>0.0</v>
      </c>
      <c r="F730" s="104">
        <v>68.44</v>
      </c>
      <c r="G730" s="110" t="s">
        <v>238</v>
      </c>
      <c r="H730" s="112">
        <v>45813.0</v>
      </c>
      <c r="I730" s="110" t="s">
        <v>1506</v>
      </c>
      <c r="J730" s="104">
        <v>0.0</v>
      </c>
      <c r="K730" s="110" t="s">
        <v>1870</v>
      </c>
      <c r="L730" s="110" t="s">
        <v>1871</v>
      </c>
    </row>
    <row r="731">
      <c r="A731" s="110" t="s">
        <v>1506</v>
      </c>
      <c r="B731" s="104">
        <v>0.0</v>
      </c>
      <c r="C731" s="110" t="s">
        <v>209</v>
      </c>
      <c r="D731" s="110" t="s">
        <v>322</v>
      </c>
      <c r="E731" s="104">
        <v>0.0</v>
      </c>
      <c r="F731" s="104">
        <v>14.0</v>
      </c>
      <c r="G731" s="110" t="s">
        <v>238</v>
      </c>
      <c r="H731" s="112">
        <v>45813.0</v>
      </c>
      <c r="I731" s="110" t="s">
        <v>1506</v>
      </c>
      <c r="J731" s="104">
        <v>0.0</v>
      </c>
      <c r="K731" s="110" t="s">
        <v>1872</v>
      </c>
      <c r="L731" s="110" t="s">
        <v>1873</v>
      </c>
    </row>
    <row r="732">
      <c r="A732" s="110" t="s">
        <v>1508</v>
      </c>
      <c r="B732" s="104">
        <v>0.0</v>
      </c>
      <c r="C732" s="110" t="s">
        <v>344</v>
      </c>
      <c r="D732" s="110" t="s">
        <v>322</v>
      </c>
      <c r="E732" s="104">
        <v>0.0</v>
      </c>
      <c r="F732" s="104">
        <v>7.9</v>
      </c>
      <c r="G732" s="110" t="s">
        <v>334</v>
      </c>
      <c r="H732" s="112">
        <v>45849.0</v>
      </c>
      <c r="I732" s="110" t="s">
        <v>1508</v>
      </c>
      <c r="J732" s="104">
        <v>0.0</v>
      </c>
      <c r="K732" s="110" t="s">
        <v>1874</v>
      </c>
      <c r="L732" s="110" t="s">
        <v>1875</v>
      </c>
    </row>
    <row r="733">
      <c r="A733" s="110" t="s">
        <v>1510</v>
      </c>
      <c r="B733" s="104">
        <v>0.0</v>
      </c>
      <c r="C733" s="110" t="s">
        <v>261</v>
      </c>
      <c r="D733" s="110" t="s">
        <v>322</v>
      </c>
      <c r="E733" s="104">
        <v>0.0</v>
      </c>
      <c r="F733" s="104">
        <v>3.9</v>
      </c>
      <c r="G733" s="110" t="s">
        <v>663</v>
      </c>
      <c r="H733" s="112">
        <v>45846.0</v>
      </c>
      <c r="I733" s="110" t="s">
        <v>1876</v>
      </c>
      <c r="J733" s="104">
        <v>0.0</v>
      </c>
      <c r="K733" s="110" t="s">
        <v>1877</v>
      </c>
      <c r="L733" s="110" t="s">
        <v>1878</v>
      </c>
    </row>
    <row r="734">
      <c r="A734" s="110" t="s">
        <v>1512</v>
      </c>
      <c r="B734" s="104">
        <v>0.0</v>
      </c>
      <c r="C734" s="110" t="s">
        <v>337</v>
      </c>
      <c r="D734" s="110" t="s">
        <v>217</v>
      </c>
      <c r="E734" s="104">
        <v>0.0</v>
      </c>
      <c r="F734" s="104">
        <v>30.0</v>
      </c>
      <c r="G734" s="110" t="s">
        <v>1542</v>
      </c>
      <c r="H734" s="112">
        <v>45728.0</v>
      </c>
      <c r="I734" s="104">
        <v>0.0</v>
      </c>
      <c r="J734" s="104">
        <v>0.0</v>
      </c>
      <c r="K734" s="110" t="s">
        <v>1879</v>
      </c>
      <c r="L734" s="110" t="s">
        <v>1880</v>
      </c>
    </row>
    <row r="735">
      <c r="A735" s="110" t="s">
        <v>1514</v>
      </c>
      <c r="B735" s="104">
        <v>0.0</v>
      </c>
      <c r="C735" s="110" t="s">
        <v>657</v>
      </c>
      <c r="D735" s="110" t="s">
        <v>217</v>
      </c>
      <c r="E735" s="104">
        <v>0.0</v>
      </c>
      <c r="F735" s="104">
        <v>0.0</v>
      </c>
      <c r="G735" s="110" t="s">
        <v>1824</v>
      </c>
      <c r="H735" s="112">
        <v>45825.0</v>
      </c>
      <c r="I735" s="104">
        <v>0.0</v>
      </c>
      <c r="J735" s="104">
        <v>0.0</v>
      </c>
      <c r="K735" s="110" t="s">
        <v>1881</v>
      </c>
      <c r="L735" s="110" t="s">
        <v>1882</v>
      </c>
    </row>
    <row r="736">
      <c r="A736" s="110" t="s">
        <v>1516</v>
      </c>
      <c r="B736" s="104">
        <v>0.0</v>
      </c>
      <c r="C736" s="110" t="s">
        <v>657</v>
      </c>
      <c r="D736" s="110" t="s">
        <v>322</v>
      </c>
      <c r="E736" s="104">
        <v>0.0</v>
      </c>
      <c r="F736" s="104">
        <v>16.05</v>
      </c>
      <c r="G736" s="104">
        <v>0.0</v>
      </c>
      <c r="H736" s="112">
        <v>44764.0</v>
      </c>
      <c r="I736" s="104">
        <v>0.0</v>
      </c>
      <c r="J736" s="104">
        <v>0.0</v>
      </c>
      <c r="K736" s="110" t="s">
        <v>1883</v>
      </c>
      <c r="L736" s="110" t="s">
        <v>1884</v>
      </c>
    </row>
    <row r="737">
      <c r="A737" s="110" t="s">
        <v>1516</v>
      </c>
      <c r="B737" s="104">
        <v>0.0</v>
      </c>
      <c r="C737" s="110" t="s">
        <v>200</v>
      </c>
      <c r="D737" s="110" t="s">
        <v>322</v>
      </c>
      <c r="E737" s="104">
        <v>0.0</v>
      </c>
      <c r="F737" s="104">
        <v>16.95</v>
      </c>
      <c r="G737" s="104">
        <v>0.0</v>
      </c>
      <c r="H737" s="112">
        <v>44764.0</v>
      </c>
      <c r="I737" s="104">
        <v>0.0</v>
      </c>
      <c r="J737" s="104">
        <v>0.0</v>
      </c>
      <c r="K737" s="110" t="s">
        <v>1885</v>
      </c>
      <c r="L737" s="110" t="s">
        <v>1886</v>
      </c>
    </row>
    <row r="738">
      <c r="A738" s="110" t="s">
        <v>1521</v>
      </c>
      <c r="B738" s="110" t="s">
        <v>1887</v>
      </c>
      <c r="C738" s="110" t="s">
        <v>261</v>
      </c>
      <c r="D738" s="110" t="s">
        <v>322</v>
      </c>
      <c r="E738" s="104">
        <v>0.0</v>
      </c>
      <c r="F738" s="104">
        <v>35.0</v>
      </c>
      <c r="G738" s="110" t="s">
        <v>238</v>
      </c>
      <c r="H738" s="112">
        <v>45986.0</v>
      </c>
      <c r="I738" s="110" t="s">
        <v>1516</v>
      </c>
      <c r="J738" s="104">
        <v>0.0</v>
      </c>
      <c r="K738" s="110" t="s">
        <v>1888</v>
      </c>
      <c r="L738" s="110" t="s">
        <v>1889</v>
      </c>
    </row>
    <row r="739">
      <c r="A739" s="110" t="s">
        <v>1521</v>
      </c>
      <c r="B739" s="110" t="s">
        <v>1887</v>
      </c>
      <c r="C739" s="110" t="s">
        <v>261</v>
      </c>
      <c r="D739" s="110" t="s">
        <v>322</v>
      </c>
      <c r="E739" s="104">
        <v>0.0</v>
      </c>
      <c r="F739" s="104">
        <v>15.24</v>
      </c>
      <c r="G739" s="110" t="s">
        <v>334</v>
      </c>
      <c r="H739" s="112">
        <v>45909.0</v>
      </c>
      <c r="I739" s="110" t="s">
        <v>1516</v>
      </c>
      <c r="J739" s="104">
        <v>0.0</v>
      </c>
      <c r="K739" s="110" t="s">
        <v>1888</v>
      </c>
      <c r="L739" s="110" t="s">
        <v>1890</v>
      </c>
    </row>
    <row r="740">
      <c r="A740" s="110" t="s">
        <v>1521</v>
      </c>
      <c r="B740" s="104">
        <v>0.0</v>
      </c>
      <c r="C740" s="110" t="s">
        <v>261</v>
      </c>
      <c r="D740" s="110" t="s">
        <v>322</v>
      </c>
      <c r="E740" s="104">
        <v>0.0</v>
      </c>
      <c r="F740" s="104">
        <v>13.0</v>
      </c>
      <c r="G740" s="110" t="s">
        <v>373</v>
      </c>
      <c r="H740" s="112">
        <v>45921.0</v>
      </c>
      <c r="I740" s="110" t="s">
        <v>1516</v>
      </c>
      <c r="J740" s="104">
        <v>0.0</v>
      </c>
      <c r="K740" s="110" t="s">
        <v>1888</v>
      </c>
      <c r="L740" s="110" t="s">
        <v>1891</v>
      </c>
    </row>
    <row r="741">
      <c r="A741" s="110" t="s">
        <v>1521</v>
      </c>
      <c r="B741" s="104">
        <v>0.0</v>
      </c>
      <c r="C741" s="110" t="s">
        <v>261</v>
      </c>
      <c r="D741" s="110" t="s">
        <v>322</v>
      </c>
      <c r="E741" s="104">
        <v>0.0</v>
      </c>
      <c r="F741" s="104">
        <v>12.0</v>
      </c>
      <c r="G741" s="110" t="s">
        <v>268</v>
      </c>
      <c r="H741" s="112">
        <v>45921.0</v>
      </c>
      <c r="I741" s="110" t="s">
        <v>1516</v>
      </c>
      <c r="J741" s="104">
        <v>0.0</v>
      </c>
      <c r="K741" s="110" t="s">
        <v>1888</v>
      </c>
      <c r="L741" s="110" t="s">
        <v>1892</v>
      </c>
    </row>
    <row r="742">
      <c r="A742" s="110" t="s">
        <v>1523</v>
      </c>
      <c r="B742" s="104">
        <v>0.0</v>
      </c>
      <c r="C742" s="110" t="s">
        <v>535</v>
      </c>
      <c r="D742" s="110" t="s">
        <v>322</v>
      </c>
      <c r="E742" s="104">
        <v>0.0</v>
      </c>
      <c r="F742" s="104">
        <v>8.5</v>
      </c>
      <c r="G742" s="110" t="s">
        <v>1389</v>
      </c>
      <c r="H742" s="112">
        <v>45838.0</v>
      </c>
      <c r="I742" s="104">
        <v>0.0</v>
      </c>
      <c r="J742" s="104">
        <v>0.0</v>
      </c>
      <c r="K742" s="110" t="s">
        <v>1893</v>
      </c>
      <c r="L742" s="110" t="s">
        <v>1894</v>
      </c>
    </row>
    <row r="743">
      <c r="A743" s="110" t="s">
        <v>1523</v>
      </c>
      <c r="B743" s="104">
        <v>0.0</v>
      </c>
      <c r="C743" s="110" t="s">
        <v>535</v>
      </c>
      <c r="D743" s="110" t="s">
        <v>322</v>
      </c>
      <c r="E743" s="104">
        <v>0.0</v>
      </c>
      <c r="F743" s="104">
        <v>6.5</v>
      </c>
      <c r="G743" s="110" t="s">
        <v>268</v>
      </c>
      <c r="H743" s="112">
        <v>45838.0</v>
      </c>
      <c r="I743" s="104">
        <v>0.0</v>
      </c>
      <c r="J743" s="104">
        <v>0.0</v>
      </c>
      <c r="K743" s="110" t="s">
        <v>1893</v>
      </c>
      <c r="L743" s="110" t="s">
        <v>1895</v>
      </c>
    </row>
    <row r="744">
      <c r="A744" s="110" t="s">
        <v>1525</v>
      </c>
      <c r="B744" s="104">
        <v>0.0</v>
      </c>
      <c r="C744" s="110" t="s">
        <v>337</v>
      </c>
      <c r="D744" s="110" t="s">
        <v>612</v>
      </c>
      <c r="E744" s="104">
        <v>0.0</v>
      </c>
      <c r="F744" s="104">
        <v>14.5</v>
      </c>
      <c r="G744" s="110" t="s">
        <v>238</v>
      </c>
      <c r="H744" s="112">
        <v>45603.0</v>
      </c>
      <c r="I744" s="104">
        <v>0.0</v>
      </c>
      <c r="J744" s="104">
        <v>0.0</v>
      </c>
      <c r="K744" s="110" t="s">
        <v>1896</v>
      </c>
      <c r="L744" s="110" t="s">
        <v>1897</v>
      </c>
    </row>
    <row r="745">
      <c r="A745" s="110" t="s">
        <v>1525</v>
      </c>
      <c r="B745" s="104">
        <v>0.0</v>
      </c>
      <c r="C745" s="110" t="s">
        <v>209</v>
      </c>
      <c r="D745" s="110" t="s">
        <v>217</v>
      </c>
      <c r="E745" s="104">
        <v>0.0</v>
      </c>
      <c r="F745" s="104">
        <v>0.0</v>
      </c>
      <c r="G745" s="104">
        <v>0.0</v>
      </c>
      <c r="H745" s="104" t="s">
        <v>232</v>
      </c>
      <c r="I745" s="104">
        <v>0.0</v>
      </c>
      <c r="J745" s="104">
        <v>0.0</v>
      </c>
      <c r="K745" s="110" t="s">
        <v>1898</v>
      </c>
      <c r="L745" s="110" t="s">
        <v>1899</v>
      </c>
    </row>
    <row r="746">
      <c r="A746" s="110" t="s">
        <v>1527</v>
      </c>
      <c r="B746" s="104">
        <v>0.0</v>
      </c>
      <c r="C746" s="110" t="s">
        <v>261</v>
      </c>
      <c r="D746" s="110" t="s">
        <v>612</v>
      </c>
      <c r="E746" s="104">
        <v>0.0</v>
      </c>
      <c r="F746" s="104">
        <v>10.4</v>
      </c>
      <c r="G746" s="110" t="s">
        <v>457</v>
      </c>
      <c r="H746" s="112">
        <v>45891.0</v>
      </c>
      <c r="I746" s="110" t="s">
        <v>1527</v>
      </c>
      <c r="J746" s="104">
        <v>0.0</v>
      </c>
      <c r="K746" s="110" t="s">
        <v>1900</v>
      </c>
      <c r="L746" s="110" t="s">
        <v>1901</v>
      </c>
    </row>
    <row r="747">
      <c r="A747" s="110" t="s">
        <v>1529</v>
      </c>
      <c r="B747" s="104">
        <v>0.0</v>
      </c>
      <c r="C747" s="110" t="s">
        <v>1475</v>
      </c>
      <c r="D747" s="110" t="s">
        <v>322</v>
      </c>
      <c r="E747" s="104">
        <v>0.0</v>
      </c>
      <c r="F747" s="104">
        <v>12.5</v>
      </c>
      <c r="G747" s="110" t="s">
        <v>238</v>
      </c>
      <c r="H747" s="112">
        <v>45953.0</v>
      </c>
      <c r="I747" s="110" t="s">
        <v>1529</v>
      </c>
      <c r="J747" s="104">
        <v>0.0</v>
      </c>
      <c r="K747" s="110" t="s">
        <v>1902</v>
      </c>
      <c r="L747" s="110" t="s">
        <v>1903</v>
      </c>
    </row>
    <row r="748">
      <c r="A748" s="110" t="s">
        <v>1529</v>
      </c>
      <c r="B748" s="104">
        <v>0.0</v>
      </c>
      <c r="C748" s="110" t="s">
        <v>261</v>
      </c>
      <c r="D748" s="110" t="s">
        <v>322</v>
      </c>
      <c r="E748" s="104">
        <v>0.0</v>
      </c>
      <c r="F748" s="104">
        <v>12.5</v>
      </c>
      <c r="G748" s="110" t="s">
        <v>268</v>
      </c>
      <c r="H748" s="112">
        <v>45671.0</v>
      </c>
      <c r="I748" s="104">
        <v>0.0</v>
      </c>
      <c r="J748" s="104">
        <v>0.0</v>
      </c>
      <c r="K748" s="110" t="s">
        <v>1904</v>
      </c>
      <c r="L748" s="110" t="s">
        <v>1905</v>
      </c>
    </row>
    <row r="749">
      <c r="A749" s="110" t="s">
        <v>1531</v>
      </c>
      <c r="B749" s="104">
        <v>0.0</v>
      </c>
      <c r="C749" s="110" t="s">
        <v>337</v>
      </c>
      <c r="D749" s="110" t="s">
        <v>217</v>
      </c>
      <c r="E749" s="104">
        <v>0.0</v>
      </c>
      <c r="F749" s="104">
        <v>38.0</v>
      </c>
      <c r="G749" s="110" t="s">
        <v>238</v>
      </c>
      <c r="H749" s="112">
        <v>45618.0</v>
      </c>
      <c r="I749" s="104">
        <v>0.0</v>
      </c>
      <c r="J749" s="104">
        <v>0.0</v>
      </c>
      <c r="K749" s="110" t="s">
        <v>1906</v>
      </c>
      <c r="L749" s="110" t="s">
        <v>1907</v>
      </c>
    </row>
    <row r="750">
      <c r="A750" s="110" t="s">
        <v>1532</v>
      </c>
      <c r="B750" s="104">
        <v>0.0</v>
      </c>
      <c r="C750" s="110" t="s">
        <v>261</v>
      </c>
      <c r="D750" s="110" t="s">
        <v>322</v>
      </c>
      <c r="E750" s="104">
        <v>0.0</v>
      </c>
      <c r="F750" s="104">
        <v>34.0</v>
      </c>
      <c r="G750" s="110" t="s">
        <v>238</v>
      </c>
      <c r="H750" s="112">
        <v>45821.0</v>
      </c>
      <c r="I750" s="104">
        <v>0.0</v>
      </c>
      <c r="J750" s="104">
        <v>0.0</v>
      </c>
      <c r="K750" s="110" t="s">
        <v>1908</v>
      </c>
      <c r="L750" s="110" t="s">
        <v>1909</v>
      </c>
    </row>
    <row r="751">
      <c r="A751" s="110" t="s">
        <v>1532</v>
      </c>
      <c r="B751" s="104">
        <v>0.0</v>
      </c>
      <c r="C751" s="110" t="s">
        <v>261</v>
      </c>
      <c r="D751" s="110" t="s">
        <v>322</v>
      </c>
      <c r="E751" s="104">
        <v>0.0</v>
      </c>
      <c r="F751" s="104">
        <v>15.4</v>
      </c>
      <c r="G751" s="110" t="s">
        <v>334</v>
      </c>
      <c r="H751" s="112">
        <v>45821.0</v>
      </c>
      <c r="I751" s="104">
        <v>0.0</v>
      </c>
      <c r="J751" s="104">
        <v>0.0</v>
      </c>
      <c r="K751" s="110" t="s">
        <v>1908</v>
      </c>
      <c r="L751" s="110" t="s">
        <v>1910</v>
      </c>
    </row>
    <row r="752">
      <c r="A752" s="110" t="s">
        <v>1532</v>
      </c>
      <c r="B752" s="104">
        <v>0.0</v>
      </c>
      <c r="C752" s="110" t="s">
        <v>261</v>
      </c>
      <c r="D752" s="110" t="s">
        <v>322</v>
      </c>
      <c r="E752" s="104">
        <v>0.0</v>
      </c>
      <c r="F752" s="104">
        <v>12.55</v>
      </c>
      <c r="G752" s="110" t="s">
        <v>268</v>
      </c>
      <c r="H752" s="112">
        <v>45821.0</v>
      </c>
      <c r="I752" s="104">
        <v>0.0</v>
      </c>
      <c r="J752" s="104">
        <v>0.0</v>
      </c>
      <c r="K752" s="110" t="s">
        <v>1908</v>
      </c>
      <c r="L752" s="110" t="s">
        <v>1911</v>
      </c>
    </row>
    <row r="753">
      <c r="A753" s="110" t="s">
        <v>1533</v>
      </c>
      <c r="B753" s="104">
        <v>0.0</v>
      </c>
      <c r="C753" s="110" t="s">
        <v>1475</v>
      </c>
      <c r="D753" s="110" t="s">
        <v>322</v>
      </c>
      <c r="E753" s="104">
        <v>0.0</v>
      </c>
      <c r="F753" s="104">
        <v>154.0</v>
      </c>
      <c r="G753" s="110" t="s">
        <v>238</v>
      </c>
      <c r="H753" s="112">
        <v>45953.0</v>
      </c>
      <c r="I753" s="110" t="s">
        <v>1912</v>
      </c>
      <c r="J753" s="104">
        <v>0.0</v>
      </c>
      <c r="K753" s="110" t="s">
        <v>1913</v>
      </c>
      <c r="L753" s="110" t="s">
        <v>1914</v>
      </c>
    </row>
    <row r="754">
      <c r="A754" s="110" t="s">
        <v>1534</v>
      </c>
      <c r="B754" s="104">
        <v>0.0</v>
      </c>
      <c r="C754" s="110" t="s">
        <v>1475</v>
      </c>
      <c r="D754" s="110" t="s">
        <v>322</v>
      </c>
      <c r="E754" s="104">
        <v>0.0</v>
      </c>
      <c r="F754" s="104">
        <v>196.0</v>
      </c>
      <c r="G754" s="110" t="s">
        <v>238</v>
      </c>
      <c r="H754" s="112">
        <v>45869.0</v>
      </c>
      <c r="I754" s="110" t="s">
        <v>1912</v>
      </c>
      <c r="J754" s="104">
        <v>0.0</v>
      </c>
      <c r="K754" s="110" t="s">
        <v>1915</v>
      </c>
      <c r="L754" s="110" t="s">
        <v>1916</v>
      </c>
    </row>
    <row r="755">
      <c r="A755" s="110" t="s">
        <v>1537</v>
      </c>
      <c r="B755" s="110" t="s">
        <v>1917</v>
      </c>
      <c r="C755" s="110" t="s">
        <v>720</v>
      </c>
      <c r="D755" s="110" t="s">
        <v>210</v>
      </c>
      <c r="E755" s="104">
        <v>0.0</v>
      </c>
      <c r="F755" s="104">
        <v>63.0</v>
      </c>
      <c r="G755" s="110" t="s">
        <v>721</v>
      </c>
      <c r="H755" s="112">
        <v>45741.0</v>
      </c>
      <c r="I755" s="104">
        <v>0.0</v>
      </c>
      <c r="J755" s="104">
        <v>0.0</v>
      </c>
      <c r="K755" s="110" t="s">
        <v>1918</v>
      </c>
      <c r="L755" s="110" t="s">
        <v>1919</v>
      </c>
    </row>
    <row r="756">
      <c r="A756" s="110" t="s">
        <v>1537</v>
      </c>
      <c r="B756" s="110" t="s">
        <v>1917</v>
      </c>
      <c r="C756" s="110" t="s">
        <v>720</v>
      </c>
      <c r="D756" s="110" t="s">
        <v>210</v>
      </c>
      <c r="E756" s="104">
        <v>0.0</v>
      </c>
      <c r="F756" s="104">
        <v>59.0</v>
      </c>
      <c r="G756" s="110" t="s">
        <v>724</v>
      </c>
      <c r="H756" s="112">
        <v>45741.0</v>
      </c>
      <c r="I756" s="104">
        <v>0.0</v>
      </c>
      <c r="J756" s="104">
        <v>0.0</v>
      </c>
      <c r="K756" s="110" t="s">
        <v>1918</v>
      </c>
      <c r="L756" s="110" t="s">
        <v>1920</v>
      </c>
    </row>
    <row r="757">
      <c r="A757" s="110" t="s">
        <v>1537</v>
      </c>
      <c r="B757" s="110" t="s">
        <v>1917</v>
      </c>
      <c r="C757" s="110" t="s">
        <v>720</v>
      </c>
      <c r="D757" s="110" t="s">
        <v>210</v>
      </c>
      <c r="E757" s="104">
        <v>0.0</v>
      </c>
      <c r="F757" s="104">
        <v>56.0</v>
      </c>
      <c r="G757" s="110" t="s">
        <v>726</v>
      </c>
      <c r="H757" s="112">
        <v>45741.0</v>
      </c>
      <c r="I757" s="104">
        <v>0.0</v>
      </c>
      <c r="J757" s="104">
        <v>0.0</v>
      </c>
      <c r="K757" s="110" t="s">
        <v>1918</v>
      </c>
      <c r="L757" s="110" t="s">
        <v>1921</v>
      </c>
    </row>
    <row r="758">
      <c r="A758" s="110" t="s">
        <v>1537</v>
      </c>
      <c r="B758" s="110" t="s">
        <v>1917</v>
      </c>
      <c r="C758" s="110" t="s">
        <v>720</v>
      </c>
      <c r="D758" s="110" t="s">
        <v>210</v>
      </c>
      <c r="E758" s="104">
        <v>0.0</v>
      </c>
      <c r="F758" s="104">
        <v>54.0</v>
      </c>
      <c r="G758" s="110" t="s">
        <v>728</v>
      </c>
      <c r="H758" s="112">
        <v>45741.0</v>
      </c>
      <c r="I758" s="104">
        <v>0.0</v>
      </c>
      <c r="J758" s="104">
        <v>0.0</v>
      </c>
      <c r="K758" s="110" t="s">
        <v>1918</v>
      </c>
      <c r="L758" s="110" t="s">
        <v>1922</v>
      </c>
    </row>
    <row r="759">
      <c r="A759" s="110" t="s">
        <v>1539</v>
      </c>
      <c r="B759" s="104">
        <v>0.0</v>
      </c>
      <c r="C759" s="110" t="s">
        <v>845</v>
      </c>
      <c r="D759" s="110" t="s">
        <v>322</v>
      </c>
      <c r="E759" s="104">
        <v>0.0</v>
      </c>
      <c r="F759" s="104">
        <v>7.42</v>
      </c>
      <c r="G759" s="104">
        <v>0.0</v>
      </c>
      <c r="H759" s="112">
        <v>44764.0</v>
      </c>
      <c r="I759" s="104">
        <v>0.0</v>
      </c>
      <c r="J759" s="104">
        <v>0.0</v>
      </c>
      <c r="K759" s="110" t="s">
        <v>1923</v>
      </c>
      <c r="L759" s="110" t="s">
        <v>1924</v>
      </c>
    </row>
    <row r="760">
      <c r="A760" s="110" t="s">
        <v>1539</v>
      </c>
      <c r="B760" s="104">
        <v>0.0</v>
      </c>
      <c r="C760" s="110" t="s">
        <v>337</v>
      </c>
      <c r="D760" s="110" t="s">
        <v>217</v>
      </c>
      <c r="E760" s="104">
        <v>0.0</v>
      </c>
      <c r="F760" s="104">
        <v>12.0</v>
      </c>
      <c r="G760" s="110" t="s">
        <v>238</v>
      </c>
      <c r="H760" s="112">
        <v>45618.0</v>
      </c>
      <c r="I760" s="104">
        <v>0.0</v>
      </c>
      <c r="J760" s="104">
        <v>0.0</v>
      </c>
      <c r="K760" s="110" t="s">
        <v>1925</v>
      </c>
      <c r="L760" s="110" t="s">
        <v>1926</v>
      </c>
    </row>
    <row r="761">
      <c r="A761" s="110" t="s">
        <v>1539</v>
      </c>
      <c r="B761" s="104">
        <v>0.0</v>
      </c>
      <c r="C761" s="110" t="s">
        <v>200</v>
      </c>
      <c r="D761" s="110" t="s">
        <v>322</v>
      </c>
      <c r="E761" s="104">
        <v>0.0</v>
      </c>
      <c r="F761" s="104">
        <v>6.75</v>
      </c>
      <c r="G761" s="104">
        <v>0.0</v>
      </c>
      <c r="H761" s="112">
        <v>44764.0</v>
      </c>
      <c r="I761" s="104">
        <v>0.0</v>
      </c>
      <c r="J761" s="104">
        <v>0.0</v>
      </c>
      <c r="K761" s="110" t="s">
        <v>1927</v>
      </c>
      <c r="L761" s="110" t="s">
        <v>1928</v>
      </c>
    </row>
    <row r="762">
      <c r="A762" s="110" t="s">
        <v>1541</v>
      </c>
      <c r="B762" s="104">
        <v>0.0</v>
      </c>
      <c r="C762" s="110" t="s">
        <v>261</v>
      </c>
      <c r="D762" s="110" t="s">
        <v>322</v>
      </c>
      <c r="E762" s="104">
        <v>0.0</v>
      </c>
      <c r="F762" s="104">
        <v>7.05</v>
      </c>
      <c r="G762" s="110" t="s">
        <v>1929</v>
      </c>
      <c r="H762" s="112">
        <v>45819.0</v>
      </c>
      <c r="I762" s="110" t="s">
        <v>1539</v>
      </c>
      <c r="J762" s="104">
        <v>0.0</v>
      </c>
      <c r="K762" s="110" t="s">
        <v>1930</v>
      </c>
      <c r="L762" s="110" t="s">
        <v>1931</v>
      </c>
    </row>
    <row r="763">
      <c r="A763" s="110" t="s">
        <v>1541</v>
      </c>
      <c r="B763" s="104">
        <v>0.0</v>
      </c>
      <c r="C763" s="110" t="s">
        <v>261</v>
      </c>
      <c r="D763" s="110" t="s">
        <v>322</v>
      </c>
      <c r="E763" s="104">
        <v>0.0</v>
      </c>
      <c r="F763" s="104">
        <v>6.06</v>
      </c>
      <c r="G763" s="110" t="s">
        <v>1932</v>
      </c>
      <c r="H763" s="112">
        <v>45819.0</v>
      </c>
      <c r="I763" s="110" t="s">
        <v>1539</v>
      </c>
      <c r="J763" s="104">
        <v>0.0</v>
      </c>
      <c r="K763" s="110" t="s">
        <v>1930</v>
      </c>
      <c r="L763" s="110" t="s">
        <v>1933</v>
      </c>
    </row>
    <row r="764">
      <c r="A764" s="110" t="s">
        <v>1541</v>
      </c>
      <c r="B764" s="104">
        <v>0.0</v>
      </c>
      <c r="C764" s="110" t="s">
        <v>261</v>
      </c>
      <c r="D764" s="110" t="s">
        <v>322</v>
      </c>
      <c r="E764" s="104">
        <v>0.0</v>
      </c>
      <c r="F764" s="104">
        <v>4.85</v>
      </c>
      <c r="G764" s="110" t="s">
        <v>1087</v>
      </c>
      <c r="H764" s="112">
        <v>45819.0</v>
      </c>
      <c r="I764" s="110" t="s">
        <v>1539</v>
      </c>
      <c r="J764" s="104">
        <v>0.0</v>
      </c>
      <c r="K764" s="110" t="s">
        <v>1930</v>
      </c>
      <c r="L764" s="110" t="s">
        <v>1934</v>
      </c>
    </row>
    <row r="765">
      <c r="A765" s="110" t="s">
        <v>1543</v>
      </c>
      <c r="B765" s="104">
        <v>0.0</v>
      </c>
      <c r="C765" s="110" t="s">
        <v>1086</v>
      </c>
      <c r="D765" s="110" t="s">
        <v>217</v>
      </c>
      <c r="E765" s="104">
        <v>0.0</v>
      </c>
      <c r="F765" s="104">
        <v>1.48</v>
      </c>
      <c r="G765" s="110" t="s">
        <v>1087</v>
      </c>
      <c r="H765" s="112">
        <v>45849.0</v>
      </c>
      <c r="I765" s="110" t="s">
        <v>1543</v>
      </c>
      <c r="J765" s="104">
        <v>0.0</v>
      </c>
      <c r="K765" s="110" t="s">
        <v>1935</v>
      </c>
      <c r="L765" s="110" t="s">
        <v>1936</v>
      </c>
    </row>
    <row r="766">
      <c r="A766" s="110" t="s">
        <v>1543</v>
      </c>
      <c r="B766" s="104">
        <v>0.0</v>
      </c>
      <c r="C766" s="110" t="s">
        <v>1086</v>
      </c>
      <c r="D766" s="110" t="s">
        <v>217</v>
      </c>
      <c r="E766" s="104">
        <v>0.0</v>
      </c>
      <c r="F766" s="104">
        <v>1.68</v>
      </c>
      <c r="G766" s="110" t="s">
        <v>1091</v>
      </c>
      <c r="H766" s="112">
        <v>45849.0</v>
      </c>
      <c r="I766" s="110" t="s">
        <v>1543</v>
      </c>
      <c r="J766" s="104">
        <v>0.0</v>
      </c>
      <c r="K766" s="110" t="s">
        <v>1935</v>
      </c>
      <c r="L766" s="110" t="s">
        <v>1937</v>
      </c>
    </row>
    <row r="767">
      <c r="A767" s="110" t="s">
        <v>1544</v>
      </c>
      <c r="B767" s="104">
        <v>0.0</v>
      </c>
      <c r="C767" s="110" t="s">
        <v>348</v>
      </c>
      <c r="D767" s="110" t="s">
        <v>217</v>
      </c>
      <c r="E767" s="104">
        <v>0.0</v>
      </c>
      <c r="F767" s="104">
        <v>6.08</v>
      </c>
      <c r="G767" s="110" t="s">
        <v>238</v>
      </c>
      <c r="H767" s="112">
        <v>45849.0</v>
      </c>
      <c r="I767" s="110" t="s">
        <v>1938</v>
      </c>
      <c r="J767" s="104">
        <v>0.0</v>
      </c>
      <c r="K767" s="110" t="s">
        <v>1939</v>
      </c>
      <c r="L767" s="110" t="s">
        <v>1940</v>
      </c>
    </row>
    <row r="768">
      <c r="A768" s="110" t="s">
        <v>1546</v>
      </c>
      <c r="B768" s="104">
        <v>0.0</v>
      </c>
      <c r="C768" s="110" t="s">
        <v>1219</v>
      </c>
      <c r="D768" s="110" t="s">
        <v>217</v>
      </c>
      <c r="E768" s="104">
        <v>0.0</v>
      </c>
      <c r="F768" s="104">
        <v>1.92</v>
      </c>
      <c r="G768" s="110" t="s">
        <v>1941</v>
      </c>
      <c r="H768" s="112">
        <v>45866.0</v>
      </c>
      <c r="I768" s="110" t="s">
        <v>1546</v>
      </c>
      <c r="J768" s="104">
        <v>0.0</v>
      </c>
      <c r="K768" s="110" t="s">
        <v>1942</v>
      </c>
      <c r="L768" s="110" t="s">
        <v>1943</v>
      </c>
    </row>
    <row r="769">
      <c r="A769" s="110" t="s">
        <v>1548</v>
      </c>
      <c r="B769" s="104">
        <v>0.0</v>
      </c>
      <c r="C769" s="110" t="s">
        <v>657</v>
      </c>
      <c r="D769" s="110" t="s">
        <v>217</v>
      </c>
      <c r="E769" s="104">
        <v>0.0</v>
      </c>
      <c r="F769" s="104">
        <v>0.0</v>
      </c>
      <c r="G769" s="110" t="s">
        <v>1820</v>
      </c>
      <c r="H769" s="112">
        <v>45825.0</v>
      </c>
      <c r="I769" s="104">
        <v>0.0</v>
      </c>
      <c r="J769" s="104">
        <v>0.0</v>
      </c>
      <c r="K769" s="110" t="s">
        <v>1944</v>
      </c>
      <c r="L769" s="110" t="s">
        <v>1945</v>
      </c>
    </row>
    <row r="770">
      <c r="A770" s="110" t="s">
        <v>1552</v>
      </c>
      <c r="B770" s="104">
        <v>0.0</v>
      </c>
      <c r="C770" s="110" t="s">
        <v>261</v>
      </c>
      <c r="D770" s="110" t="s">
        <v>322</v>
      </c>
      <c r="E770" s="104">
        <v>0.0</v>
      </c>
      <c r="F770" s="104">
        <v>41.56</v>
      </c>
      <c r="G770" s="110" t="s">
        <v>238</v>
      </c>
      <c r="H770" s="112">
        <v>45916.0</v>
      </c>
      <c r="I770" s="110" t="s">
        <v>1946</v>
      </c>
      <c r="J770" s="104">
        <v>0.0</v>
      </c>
      <c r="K770" s="110" t="s">
        <v>1947</v>
      </c>
      <c r="L770" s="110" t="s">
        <v>1948</v>
      </c>
    </row>
    <row r="771">
      <c r="A771" s="110" t="s">
        <v>1554</v>
      </c>
      <c r="B771" s="104">
        <v>0.0</v>
      </c>
      <c r="C771" s="110" t="s">
        <v>261</v>
      </c>
      <c r="D771" s="110" t="s">
        <v>217</v>
      </c>
      <c r="E771" s="104">
        <v>0.0</v>
      </c>
      <c r="F771" s="104">
        <v>20.0</v>
      </c>
      <c r="G771" s="110" t="s">
        <v>663</v>
      </c>
      <c r="H771" s="112">
        <v>45846.0</v>
      </c>
      <c r="I771" s="110" t="s">
        <v>1949</v>
      </c>
      <c r="J771" s="104">
        <v>0.0</v>
      </c>
      <c r="K771" s="110" t="s">
        <v>1950</v>
      </c>
      <c r="L771" s="110" t="s">
        <v>1951</v>
      </c>
    </row>
    <row r="772">
      <c r="A772" s="110" t="s">
        <v>1556</v>
      </c>
      <c r="B772" s="104">
        <v>0.0</v>
      </c>
      <c r="C772" s="110" t="s">
        <v>551</v>
      </c>
      <c r="D772" s="110" t="s">
        <v>544</v>
      </c>
      <c r="E772" s="104">
        <v>0.0</v>
      </c>
      <c r="F772" s="104">
        <v>30.2</v>
      </c>
      <c r="G772" s="110" t="s">
        <v>206</v>
      </c>
      <c r="H772" s="112">
        <v>45887.0</v>
      </c>
      <c r="I772" s="110" t="s">
        <v>1556</v>
      </c>
      <c r="J772" s="104">
        <v>0.0</v>
      </c>
      <c r="K772" s="110" t="s">
        <v>1952</v>
      </c>
      <c r="L772" s="110" t="s">
        <v>1953</v>
      </c>
    </row>
    <row r="773">
      <c r="A773" s="110" t="s">
        <v>1558</v>
      </c>
      <c r="B773" s="104">
        <v>0.0</v>
      </c>
      <c r="C773" s="110" t="s">
        <v>1954</v>
      </c>
      <c r="D773" s="110" t="s">
        <v>544</v>
      </c>
      <c r="E773" s="104">
        <v>0.0</v>
      </c>
      <c r="F773" s="104">
        <v>15.43</v>
      </c>
      <c r="G773" s="110" t="s">
        <v>1955</v>
      </c>
      <c r="H773" s="112">
        <v>45876.0</v>
      </c>
      <c r="I773" s="110" t="s">
        <v>1956</v>
      </c>
      <c r="J773" s="104">
        <v>0.0</v>
      </c>
      <c r="K773" s="110" t="s">
        <v>1957</v>
      </c>
      <c r="L773" s="110" t="s">
        <v>1958</v>
      </c>
    </row>
    <row r="774">
      <c r="A774" s="110" t="s">
        <v>1560</v>
      </c>
      <c r="B774" s="104">
        <v>0.0</v>
      </c>
      <c r="C774" s="110" t="s">
        <v>1954</v>
      </c>
      <c r="D774" s="110" t="s">
        <v>544</v>
      </c>
      <c r="E774" s="104">
        <v>0.0</v>
      </c>
      <c r="F774" s="104">
        <v>10.14</v>
      </c>
      <c r="G774" s="110" t="s">
        <v>1959</v>
      </c>
      <c r="H774" s="112">
        <v>45876.0</v>
      </c>
      <c r="I774" s="110" t="s">
        <v>1960</v>
      </c>
      <c r="J774" s="104">
        <v>0.0</v>
      </c>
      <c r="K774" s="110" t="s">
        <v>1961</v>
      </c>
      <c r="L774" s="110" t="s">
        <v>1962</v>
      </c>
    </row>
    <row r="775">
      <c r="A775" s="110" t="s">
        <v>1562</v>
      </c>
      <c r="B775" s="104">
        <v>0.0</v>
      </c>
      <c r="C775" s="110" t="s">
        <v>1954</v>
      </c>
      <c r="D775" s="110" t="s">
        <v>544</v>
      </c>
      <c r="E775" s="104">
        <v>0.0</v>
      </c>
      <c r="F775" s="104">
        <v>10.03</v>
      </c>
      <c r="G775" s="110" t="s">
        <v>1959</v>
      </c>
      <c r="H775" s="112">
        <v>45876.0</v>
      </c>
      <c r="I775" s="110" t="s">
        <v>1963</v>
      </c>
      <c r="J775" s="104">
        <v>0.0</v>
      </c>
      <c r="K775" s="110" t="s">
        <v>1964</v>
      </c>
      <c r="L775" s="110" t="s">
        <v>1965</v>
      </c>
    </row>
    <row r="776">
      <c r="A776" s="110" t="s">
        <v>1564</v>
      </c>
      <c r="B776" s="104">
        <v>0.0</v>
      </c>
      <c r="C776" s="110" t="s">
        <v>1954</v>
      </c>
      <c r="D776" s="110" t="s">
        <v>544</v>
      </c>
      <c r="E776" s="104">
        <v>0.0</v>
      </c>
      <c r="F776" s="104">
        <v>8.04</v>
      </c>
      <c r="G776" s="110" t="s">
        <v>1959</v>
      </c>
      <c r="H776" s="112">
        <v>45876.0</v>
      </c>
      <c r="I776" s="110" t="s">
        <v>1966</v>
      </c>
      <c r="J776" s="104">
        <v>0.0</v>
      </c>
      <c r="K776" s="110" t="s">
        <v>1967</v>
      </c>
      <c r="L776" s="110" t="s">
        <v>1968</v>
      </c>
    </row>
    <row r="777">
      <c r="A777" s="110" t="s">
        <v>1566</v>
      </c>
      <c r="B777" s="104">
        <v>0.0</v>
      </c>
      <c r="C777" s="110" t="s">
        <v>317</v>
      </c>
      <c r="D777" s="110" t="s">
        <v>210</v>
      </c>
      <c r="E777" s="104">
        <v>0.0</v>
      </c>
      <c r="F777" s="104">
        <v>105.0</v>
      </c>
      <c r="G777" s="104">
        <v>0.0</v>
      </c>
      <c r="H777" s="112">
        <v>45874.0</v>
      </c>
      <c r="I777" s="104">
        <v>0.0</v>
      </c>
      <c r="J777" s="104">
        <v>0.0</v>
      </c>
      <c r="K777" s="110" t="s">
        <v>1969</v>
      </c>
      <c r="L777" s="110" t="s">
        <v>1970</v>
      </c>
    </row>
    <row r="778">
      <c r="A778" s="110" t="s">
        <v>1569</v>
      </c>
      <c r="B778" s="104">
        <v>0.0</v>
      </c>
      <c r="C778" s="110" t="s">
        <v>417</v>
      </c>
      <c r="D778" s="110" t="s">
        <v>210</v>
      </c>
      <c r="E778" s="104">
        <v>0.0</v>
      </c>
      <c r="F778" s="104">
        <v>214.0</v>
      </c>
      <c r="G778" s="110" t="s">
        <v>218</v>
      </c>
      <c r="H778" s="112">
        <v>45813.0</v>
      </c>
      <c r="I778" s="110" t="s">
        <v>1971</v>
      </c>
      <c r="J778" s="104">
        <v>0.0</v>
      </c>
      <c r="K778" s="110" t="s">
        <v>1972</v>
      </c>
      <c r="L778" s="110" t="s">
        <v>1973</v>
      </c>
    </row>
    <row r="779">
      <c r="A779" s="110" t="s">
        <v>1570</v>
      </c>
      <c r="B779" s="104">
        <v>0.0</v>
      </c>
      <c r="C779" s="110" t="s">
        <v>417</v>
      </c>
      <c r="D779" s="110" t="s">
        <v>205</v>
      </c>
      <c r="E779" s="104">
        <v>0.0</v>
      </c>
      <c r="F779" s="104">
        <v>9.0</v>
      </c>
      <c r="G779" s="110" t="s">
        <v>774</v>
      </c>
      <c r="H779" s="112">
        <v>45897.0</v>
      </c>
      <c r="I779" s="104">
        <v>0.0</v>
      </c>
      <c r="J779" s="104">
        <v>0.0</v>
      </c>
      <c r="K779" s="110" t="s">
        <v>1974</v>
      </c>
      <c r="L779" s="110" t="s">
        <v>1975</v>
      </c>
    </row>
    <row r="780">
      <c r="A780" s="110" t="s">
        <v>1572</v>
      </c>
      <c r="B780" s="104">
        <v>0.0</v>
      </c>
      <c r="C780" s="110" t="s">
        <v>331</v>
      </c>
      <c r="D780" s="110" t="s">
        <v>205</v>
      </c>
      <c r="E780" s="104">
        <v>0.0</v>
      </c>
      <c r="F780" s="104">
        <v>19.0</v>
      </c>
      <c r="G780" s="110" t="s">
        <v>218</v>
      </c>
      <c r="H780" s="112">
        <v>45930.0</v>
      </c>
      <c r="I780" s="110" t="s">
        <v>1572</v>
      </c>
      <c r="J780" s="104">
        <v>0.0</v>
      </c>
      <c r="K780" s="110" t="s">
        <v>1976</v>
      </c>
      <c r="L780" s="110" t="s">
        <v>1977</v>
      </c>
    </row>
    <row r="781">
      <c r="A781" s="110" t="s">
        <v>1574</v>
      </c>
      <c r="B781" s="104">
        <v>0.0</v>
      </c>
      <c r="C781" s="110" t="s">
        <v>317</v>
      </c>
      <c r="D781" s="110" t="s">
        <v>217</v>
      </c>
      <c r="E781" s="104">
        <v>0.0</v>
      </c>
      <c r="F781" s="104">
        <v>105.0</v>
      </c>
      <c r="G781" s="104">
        <v>0.0</v>
      </c>
      <c r="H781" s="112">
        <v>45874.0</v>
      </c>
      <c r="I781" s="104">
        <v>0.0</v>
      </c>
      <c r="J781" s="104">
        <v>0.0</v>
      </c>
      <c r="K781" s="110" t="s">
        <v>1978</v>
      </c>
      <c r="L781" s="110" t="s">
        <v>1979</v>
      </c>
    </row>
    <row r="782">
      <c r="A782" s="110" t="s">
        <v>1574</v>
      </c>
      <c r="B782" s="104">
        <v>0.0</v>
      </c>
      <c r="C782" s="110" t="s">
        <v>365</v>
      </c>
      <c r="D782" s="110" t="s">
        <v>217</v>
      </c>
      <c r="E782" s="104">
        <v>0.0</v>
      </c>
      <c r="F782" s="104">
        <v>0.0</v>
      </c>
      <c r="G782" s="104">
        <v>0.0</v>
      </c>
      <c r="H782" s="104" t="s">
        <v>232</v>
      </c>
      <c r="I782" s="104">
        <v>0.0</v>
      </c>
      <c r="J782" s="104">
        <v>0.0</v>
      </c>
      <c r="K782" s="110" t="s">
        <v>1980</v>
      </c>
      <c r="L782" s="110" t="s">
        <v>1981</v>
      </c>
    </row>
    <row r="783">
      <c r="A783" s="110" t="s">
        <v>1574</v>
      </c>
      <c r="B783" s="104">
        <v>0.0</v>
      </c>
      <c r="C783" s="110" t="s">
        <v>386</v>
      </c>
      <c r="D783" s="110" t="s">
        <v>217</v>
      </c>
      <c r="E783" s="104">
        <v>0.0</v>
      </c>
      <c r="F783" s="104">
        <v>92.0</v>
      </c>
      <c r="G783" s="110" t="s">
        <v>302</v>
      </c>
      <c r="H783" s="112">
        <v>45719.0</v>
      </c>
      <c r="I783" s="104">
        <v>0.0</v>
      </c>
      <c r="J783" s="104">
        <v>0.0</v>
      </c>
      <c r="K783" s="110" t="s">
        <v>1982</v>
      </c>
      <c r="L783" s="110" t="s">
        <v>1983</v>
      </c>
    </row>
    <row r="784">
      <c r="A784" s="110" t="s">
        <v>1574</v>
      </c>
      <c r="B784" s="104">
        <v>0.0</v>
      </c>
      <c r="C784" s="110" t="s">
        <v>209</v>
      </c>
      <c r="D784" s="110" t="s">
        <v>217</v>
      </c>
      <c r="E784" s="104">
        <v>0.0</v>
      </c>
      <c r="F784" s="104">
        <v>0.0</v>
      </c>
      <c r="G784" s="104">
        <v>0.0</v>
      </c>
      <c r="H784" s="104" t="s">
        <v>232</v>
      </c>
      <c r="I784" s="104">
        <v>0.0</v>
      </c>
      <c r="J784" s="104">
        <v>0.0</v>
      </c>
      <c r="K784" s="110" t="s">
        <v>1984</v>
      </c>
      <c r="L784" s="110" t="s">
        <v>1985</v>
      </c>
    </row>
    <row r="785">
      <c r="A785" s="110" t="s">
        <v>1576</v>
      </c>
      <c r="B785" s="104">
        <v>0.0</v>
      </c>
      <c r="C785" s="110" t="s">
        <v>337</v>
      </c>
      <c r="D785" s="110" t="s">
        <v>217</v>
      </c>
      <c r="E785" s="104">
        <v>0.0</v>
      </c>
      <c r="F785" s="104">
        <v>16.0</v>
      </c>
      <c r="G785" s="110" t="s">
        <v>238</v>
      </c>
      <c r="H785" s="112">
        <v>45603.0</v>
      </c>
      <c r="I785" s="104">
        <v>0.0</v>
      </c>
      <c r="J785" s="104">
        <v>0.0</v>
      </c>
      <c r="K785" s="110" t="s">
        <v>1986</v>
      </c>
      <c r="L785" s="110" t="s">
        <v>1987</v>
      </c>
    </row>
    <row r="786">
      <c r="A786" s="110" t="s">
        <v>1578</v>
      </c>
      <c r="B786" s="104">
        <v>0.0</v>
      </c>
      <c r="C786" s="110" t="s">
        <v>365</v>
      </c>
      <c r="D786" s="110" t="s">
        <v>217</v>
      </c>
      <c r="E786" s="104">
        <v>0.0</v>
      </c>
      <c r="F786" s="104">
        <v>0.0</v>
      </c>
      <c r="G786" s="104">
        <v>0.0</v>
      </c>
      <c r="H786" s="104" t="s">
        <v>232</v>
      </c>
      <c r="I786" s="110" t="s">
        <v>1988</v>
      </c>
      <c r="J786" s="104">
        <v>0.0</v>
      </c>
      <c r="K786" s="110" t="s">
        <v>1989</v>
      </c>
      <c r="L786" s="110" t="s">
        <v>1990</v>
      </c>
    </row>
    <row r="787">
      <c r="A787" s="110" t="s">
        <v>1580</v>
      </c>
      <c r="B787" s="104">
        <v>0.0</v>
      </c>
      <c r="C787" s="110" t="s">
        <v>618</v>
      </c>
      <c r="D787" s="110" t="s">
        <v>217</v>
      </c>
      <c r="E787" s="104">
        <v>0.0</v>
      </c>
      <c r="F787" s="104">
        <v>44.06</v>
      </c>
      <c r="G787" s="110" t="s">
        <v>238</v>
      </c>
      <c r="H787" s="112">
        <v>45888.0</v>
      </c>
      <c r="I787" s="110" t="s">
        <v>1580</v>
      </c>
      <c r="J787" s="104">
        <v>0.0</v>
      </c>
      <c r="K787" s="110" t="s">
        <v>1991</v>
      </c>
      <c r="L787" s="110" t="s">
        <v>1992</v>
      </c>
    </row>
    <row r="788">
      <c r="A788" s="110" t="s">
        <v>1582</v>
      </c>
      <c r="B788" s="104">
        <v>0.0</v>
      </c>
      <c r="C788" s="110" t="s">
        <v>209</v>
      </c>
      <c r="D788" s="110" t="s">
        <v>217</v>
      </c>
      <c r="E788" s="104">
        <v>0.0</v>
      </c>
      <c r="F788" s="104">
        <v>47.5</v>
      </c>
      <c r="G788" s="110" t="s">
        <v>238</v>
      </c>
      <c r="H788" s="112">
        <v>45828.0</v>
      </c>
      <c r="I788" s="110" t="s">
        <v>1993</v>
      </c>
      <c r="J788" s="104">
        <v>0.0</v>
      </c>
      <c r="K788" s="110" t="s">
        <v>1994</v>
      </c>
      <c r="L788" s="110" t="s">
        <v>1995</v>
      </c>
    </row>
    <row r="789">
      <c r="A789" s="110" t="s">
        <v>1584</v>
      </c>
      <c r="B789" s="104">
        <v>0.0</v>
      </c>
      <c r="C789" s="110" t="s">
        <v>200</v>
      </c>
      <c r="D789" s="110" t="s">
        <v>217</v>
      </c>
      <c r="E789" s="104">
        <v>0.0</v>
      </c>
      <c r="F789" s="104">
        <v>56.0</v>
      </c>
      <c r="G789" s="110" t="s">
        <v>238</v>
      </c>
      <c r="H789" s="112">
        <v>45827.0</v>
      </c>
      <c r="I789" s="110" t="s">
        <v>1584</v>
      </c>
      <c r="J789" s="104">
        <v>0.0</v>
      </c>
      <c r="K789" s="110" t="s">
        <v>1996</v>
      </c>
      <c r="L789" s="110" t="s">
        <v>1997</v>
      </c>
    </row>
    <row r="790">
      <c r="A790" s="110" t="s">
        <v>1586</v>
      </c>
      <c r="B790" s="104">
        <v>0.0</v>
      </c>
      <c r="C790" s="110" t="s">
        <v>209</v>
      </c>
      <c r="D790" s="110" t="s">
        <v>217</v>
      </c>
      <c r="E790" s="104">
        <v>0.0</v>
      </c>
      <c r="F790" s="104">
        <v>2250.0</v>
      </c>
      <c r="G790" s="110" t="s">
        <v>211</v>
      </c>
      <c r="H790" s="112">
        <v>45743.0</v>
      </c>
      <c r="I790" s="104">
        <v>0.0</v>
      </c>
      <c r="J790" s="104">
        <v>0.0</v>
      </c>
      <c r="K790" s="110" t="s">
        <v>1998</v>
      </c>
      <c r="L790" s="110" t="s">
        <v>1999</v>
      </c>
    </row>
    <row r="791">
      <c r="A791" s="110" t="s">
        <v>1586</v>
      </c>
      <c r="B791" s="104">
        <v>0.0</v>
      </c>
      <c r="C791" s="110" t="s">
        <v>209</v>
      </c>
      <c r="D791" s="110" t="s">
        <v>217</v>
      </c>
      <c r="E791" s="104">
        <v>0.0</v>
      </c>
      <c r="F791" s="104">
        <v>2450.0</v>
      </c>
      <c r="G791" s="110" t="s">
        <v>2000</v>
      </c>
      <c r="H791" s="112">
        <v>45743.0</v>
      </c>
      <c r="I791" s="104">
        <v>0.0</v>
      </c>
      <c r="J791" s="104">
        <v>0.0</v>
      </c>
      <c r="K791" s="110" t="s">
        <v>1998</v>
      </c>
      <c r="L791" s="110" t="s">
        <v>2001</v>
      </c>
    </row>
    <row r="792">
      <c r="A792" s="110" t="s">
        <v>1588</v>
      </c>
      <c r="B792" s="104">
        <v>0.0</v>
      </c>
      <c r="C792" s="110" t="s">
        <v>209</v>
      </c>
      <c r="D792" s="110" t="s">
        <v>217</v>
      </c>
      <c r="E792" s="104">
        <v>0.0</v>
      </c>
      <c r="F792" s="104">
        <v>9.0</v>
      </c>
      <c r="G792" s="110" t="s">
        <v>238</v>
      </c>
      <c r="H792" s="112">
        <v>45868.0</v>
      </c>
      <c r="I792" s="110" t="s">
        <v>2002</v>
      </c>
      <c r="J792" s="104">
        <v>0.0</v>
      </c>
      <c r="K792" s="110" t="s">
        <v>2003</v>
      </c>
      <c r="L792" s="110" t="s">
        <v>2004</v>
      </c>
    </row>
    <row r="793">
      <c r="A793" s="110" t="s">
        <v>1590</v>
      </c>
      <c r="B793" s="104">
        <v>0.0</v>
      </c>
      <c r="C793" s="110" t="s">
        <v>209</v>
      </c>
      <c r="D793" s="110" t="s">
        <v>217</v>
      </c>
      <c r="E793" s="104">
        <v>0.0</v>
      </c>
      <c r="F793" s="104">
        <v>0.0</v>
      </c>
      <c r="G793" s="104">
        <v>0.0</v>
      </c>
      <c r="H793" s="104" t="s">
        <v>232</v>
      </c>
      <c r="I793" s="104">
        <v>0.0</v>
      </c>
      <c r="J793" s="104">
        <v>0.0</v>
      </c>
      <c r="K793" s="110" t="s">
        <v>2005</v>
      </c>
      <c r="L793" s="110" t="s">
        <v>2006</v>
      </c>
    </row>
    <row r="794">
      <c r="A794" s="110" t="s">
        <v>1592</v>
      </c>
      <c r="B794" s="104">
        <v>0.0</v>
      </c>
      <c r="C794" s="110" t="s">
        <v>1219</v>
      </c>
      <c r="D794" s="110" t="s">
        <v>612</v>
      </c>
      <c r="E794" s="104">
        <v>0.0</v>
      </c>
      <c r="F794" s="104">
        <v>1.5</v>
      </c>
      <c r="G794" s="110" t="s">
        <v>2007</v>
      </c>
      <c r="H794" s="112">
        <v>45863.0</v>
      </c>
      <c r="I794" s="110" t="s">
        <v>2008</v>
      </c>
      <c r="J794" s="104">
        <v>0.0</v>
      </c>
      <c r="K794" s="110" t="s">
        <v>2009</v>
      </c>
      <c r="L794" s="110" t="s">
        <v>2010</v>
      </c>
    </row>
    <row r="795">
      <c r="A795" s="110" t="s">
        <v>1594</v>
      </c>
      <c r="B795" s="104">
        <v>0.0</v>
      </c>
      <c r="C795" s="110" t="s">
        <v>273</v>
      </c>
      <c r="D795" s="110" t="s">
        <v>612</v>
      </c>
      <c r="E795" s="104">
        <v>0.0</v>
      </c>
      <c r="F795" s="104">
        <v>4.3</v>
      </c>
      <c r="G795" s="110" t="s">
        <v>2011</v>
      </c>
      <c r="H795" s="112">
        <v>45916.0</v>
      </c>
      <c r="I795" s="110" t="s">
        <v>1594</v>
      </c>
      <c r="J795" s="104">
        <v>0.0</v>
      </c>
      <c r="K795" s="110" t="s">
        <v>2012</v>
      </c>
      <c r="L795" s="110" t="s">
        <v>2013</v>
      </c>
    </row>
    <row r="796">
      <c r="A796" s="110" t="s">
        <v>1596</v>
      </c>
      <c r="B796" s="104">
        <v>0.0</v>
      </c>
      <c r="C796" s="110" t="s">
        <v>273</v>
      </c>
      <c r="D796" s="110" t="s">
        <v>612</v>
      </c>
      <c r="E796" s="104">
        <v>0.0</v>
      </c>
      <c r="F796" s="104">
        <v>4.18</v>
      </c>
      <c r="G796" s="110" t="s">
        <v>2011</v>
      </c>
      <c r="H796" s="112">
        <v>45916.0</v>
      </c>
      <c r="I796" s="110" t="s">
        <v>1596</v>
      </c>
      <c r="J796" s="104">
        <v>0.0</v>
      </c>
      <c r="K796" s="110" t="s">
        <v>2014</v>
      </c>
      <c r="L796" s="110" t="s">
        <v>2015</v>
      </c>
    </row>
    <row r="797">
      <c r="A797" s="110" t="s">
        <v>1598</v>
      </c>
      <c r="B797" s="104">
        <v>0.0</v>
      </c>
      <c r="C797" s="110" t="s">
        <v>273</v>
      </c>
      <c r="D797" s="110" t="s">
        <v>612</v>
      </c>
      <c r="E797" s="104">
        <v>0.0</v>
      </c>
      <c r="F797" s="104">
        <v>4.43</v>
      </c>
      <c r="G797" s="110" t="s">
        <v>2011</v>
      </c>
      <c r="H797" s="112">
        <v>45916.0</v>
      </c>
      <c r="I797" s="110" t="s">
        <v>1598</v>
      </c>
      <c r="J797" s="104">
        <v>0.0</v>
      </c>
      <c r="K797" s="110" t="s">
        <v>2016</v>
      </c>
      <c r="L797" s="110" t="s">
        <v>2017</v>
      </c>
    </row>
    <row r="798">
      <c r="A798" s="110" t="s">
        <v>1599</v>
      </c>
      <c r="B798" s="104">
        <v>0.0</v>
      </c>
      <c r="C798" s="110" t="s">
        <v>386</v>
      </c>
      <c r="D798" s="110" t="s">
        <v>210</v>
      </c>
      <c r="E798" s="104">
        <v>0.0</v>
      </c>
      <c r="F798" s="104">
        <v>43.5</v>
      </c>
      <c r="G798" s="110" t="s">
        <v>238</v>
      </c>
      <c r="H798" s="112">
        <v>45575.0</v>
      </c>
      <c r="I798" s="104">
        <v>0.0</v>
      </c>
      <c r="J798" s="104">
        <v>0.0</v>
      </c>
      <c r="K798" s="110" t="s">
        <v>2018</v>
      </c>
      <c r="L798" s="110" t="s">
        <v>2019</v>
      </c>
    </row>
    <row r="799">
      <c r="A799" s="110" t="s">
        <v>1601</v>
      </c>
      <c r="B799" s="104">
        <v>0.0</v>
      </c>
      <c r="C799" s="110" t="s">
        <v>337</v>
      </c>
      <c r="D799" s="110" t="s">
        <v>210</v>
      </c>
      <c r="E799" s="104">
        <v>0.0</v>
      </c>
      <c r="F799" s="104">
        <v>50.0</v>
      </c>
      <c r="G799" s="110" t="s">
        <v>238</v>
      </c>
      <c r="H799" s="112">
        <v>45575.0</v>
      </c>
      <c r="I799" s="104">
        <v>0.0</v>
      </c>
      <c r="J799" s="104">
        <v>0.0</v>
      </c>
      <c r="K799" s="110" t="s">
        <v>2020</v>
      </c>
      <c r="L799" s="110" t="s">
        <v>2021</v>
      </c>
    </row>
    <row r="800">
      <c r="A800" s="110" t="s">
        <v>1604</v>
      </c>
      <c r="B800" s="104">
        <v>0.0</v>
      </c>
      <c r="C800" s="110" t="s">
        <v>209</v>
      </c>
      <c r="D800" s="110" t="s">
        <v>217</v>
      </c>
      <c r="E800" s="104">
        <v>0.0</v>
      </c>
      <c r="F800" s="104">
        <v>0.0</v>
      </c>
      <c r="G800" s="104">
        <v>0.0</v>
      </c>
      <c r="H800" s="104" t="s">
        <v>232</v>
      </c>
      <c r="I800" s="104">
        <v>0.0</v>
      </c>
      <c r="J800" s="104">
        <v>0.0</v>
      </c>
      <c r="K800" s="110" t="s">
        <v>2022</v>
      </c>
      <c r="L800" s="110" t="s">
        <v>2023</v>
      </c>
    </row>
    <row r="801">
      <c r="A801" s="110" t="s">
        <v>1606</v>
      </c>
      <c r="B801" s="104">
        <v>0.0</v>
      </c>
      <c r="C801" s="110" t="s">
        <v>344</v>
      </c>
      <c r="D801" s="110" t="s">
        <v>210</v>
      </c>
      <c r="E801" s="104">
        <v>0.0</v>
      </c>
      <c r="F801" s="104">
        <v>27.0</v>
      </c>
      <c r="G801" s="110" t="s">
        <v>345</v>
      </c>
      <c r="H801" s="112">
        <v>45854.0</v>
      </c>
      <c r="I801" s="110" t="s">
        <v>1606</v>
      </c>
      <c r="J801" s="104">
        <v>0.0</v>
      </c>
      <c r="K801" s="110" t="s">
        <v>2024</v>
      </c>
      <c r="L801" s="110" t="s">
        <v>2025</v>
      </c>
    </row>
    <row r="802">
      <c r="A802" s="110" t="s">
        <v>1608</v>
      </c>
      <c r="B802" s="104">
        <v>0.0</v>
      </c>
      <c r="C802" s="110" t="s">
        <v>310</v>
      </c>
      <c r="D802" s="110" t="s">
        <v>217</v>
      </c>
      <c r="E802" s="104">
        <v>0.0</v>
      </c>
      <c r="F802" s="104">
        <v>29.0</v>
      </c>
      <c r="G802" s="104">
        <v>0.0</v>
      </c>
      <c r="H802" s="112">
        <v>45707.0</v>
      </c>
      <c r="I802" s="104">
        <v>0.0</v>
      </c>
      <c r="J802" s="104">
        <v>0.0</v>
      </c>
      <c r="K802" s="110" t="s">
        <v>2026</v>
      </c>
      <c r="L802" s="110" t="s">
        <v>2027</v>
      </c>
    </row>
    <row r="803">
      <c r="A803" s="110" t="s">
        <v>1610</v>
      </c>
      <c r="B803" s="104">
        <v>0.0</v>
      </c>
      <c r="C803" s="110" t="s">
        <v>331</v>
      </c>
      <c r="D803" s="110" t="s">
        <v>210</v>
      </c>
      <c r="E803" s="104">
        <v>0.0</v>
      </c>
      <c r="F803" s="104">
        <v>41.0</v>
      </c>
      <c r="G803" s="110" t="s">
        <v>218</v>
      </c>
      <c r="H803" s="112">
        <v>45987.0</v>
      </c>
      <c r="I803" s="110" t="s">
        <v>1610</v>
      </c>
      <c r="J803" s="104">
        <v>0.0</v>
      </c>
      <c r="K803" s="110" t="s">
        <v>2028</v>
      </c>
      <c r="L803" s="110" t="s">
        <v>2029</v>
      </c>
    </row>
    <row r="804">
      <c r="A804" s="110" t="s">
        <v>1612</v>
      </c>
      <c r="B804" s="104">
        <v>0.0</v>
      </c>
      <c r="C804" s="110" t="s">
        <v>551</v>
      </c>
      <c r="D804" s="110" t="s">
        <v>552</v>
      </c>
      <c r="E804" s="104">
        <v>0.0</v>
      </c>
      <c r="F804" s="104">
        <v>21.61</v>
      </c>
      <c r="G804" s="104">
        <v>0.0</v>
      </c>
      <c r="H804" s="112">
        <v>45715.0</v>
      </c>
      <c r="I804" s="104">
        <v>0.0</v>
      </c>
      <c r="J804" s="104">
        <v>0.0</v>
      </c>
      <c r="K804" s="110" t="s">
        <v>2030</v>
      </c>
      <c r="L804" s="110" t="s">
        <v>2031</v>
      </c>
    </row>
    <row r="805">
      <c r="A805" s="110" t="s">
        <v>1614</v>
      </c>
      <c r="B805" s="104">
        <v>0.0</v>
      </c>
      <c r="C805" s="110" t="s">
        <v>2032</v>
      </c>
      <c r="D805" s="110" t="s">
        <v>217</v>
      </c>
      <c r="E805" s="104">
        <v>0.0</v>
      </c>
      <c r="F805" s="104">
        <v>0.0</v>
      </c>
      <c r="G805" s="104">
        <v>0.0</v>
      </c>
      <c r="H805" s="112">
        <v>45987.0</v>
      </c>
      <c r="I805" s="110" t="s">
        <v>1614</v>
      </c>
      <c r="J805" s="104">
        <v>0.0</v>
      </c>
      <c r="K805" s="110" t="s">
        <v>2033</v>
      </c>
      <c r="L805" s="110" t="s">
        <v>2034</v>
      </c>
    </row>
    <row r="806">
      <c r="A806" s="110" t="s">
        <v>1618</v>
      </c>
      <c r="B806" s="104">
        <v>0.0</v>
      </c>
      <c r="C806" s="110" t="s">
        <v>657</v>
      </c>
      <c r="D806" s="110" t="s">
        <v>217</v>
      </c>
      <c r="E806" s="104">
        <v>0.0</v>
      </c>
      <c r="F806" s="104">
        <v>0.0</v>
      </c>
      <c r="G806" s="110" t="s">
        <v>1820</v>
      </c>
      <c r="H806" s="112">
        <v>45825.0</v>
      </c>
      <c r="I806" s="104">
        <v>0.0</v>
      </c>
      <c r="J806" s="104">
        <v>0.0</v>
      </c>
      <c r="K806" s="110" t="s">
        <v>2035</v>
      </c>
      <c r="L806" s="110" t="s">
        <v>2036</v>
      </c>
    </row>
    <row r="807">
      <c r="A807" s="110" t="s">
        <v>1620</v>
      </c>
      <c r="B807" s="104">
        <v>0.0</v>
      </c>
      <c r="C807" s="110" t="s">
        <v>293</v>
      </c>
      <c r="D807" s="110" t="s">
        <v>226</v>
      </c>
      <c r="E807" s="104">
        <v>0.0</v>
      </c>
      <c r="F807" s="104">
        <v>0.0</v>
      </c>
      <c r="G807" s="104">
        <v>0.0</v>
      </c>
      <c r="H807" s="104" t="s">
        <v>232</v>
      </c>
      <c r="I807" s="110" t="s">
        <v>2037</v>
      </c>
      <c r="J807" s="104">
        <v>0.0</v>
      </c>
      <c r="K807" s="110" t="s">
        <v>2038</v>
      </c>
      <c r="L807" s="110" t="s">
        <v>2039</v>
      </c>
    </row>
    <row r="808">
      <c r="A808" s="110" t="s">
        <v>1621</v>
      </c>
      <c r="B808" s="104">
        <v>0.0</v>
      </c>
      <c r="C808" s="110" t="s">
        <v>293</v>
      </c>
      <c r="D808" s="110" t="s">
        <v>226</v>
      </c>
      <c r="E808" s="104">
        <v>0.0</v>
      </c>
      <c r="F808" s="104">
        <v>389.0</v>
      </c>
      <c r="G808" s="104">
        <v>20.0</v>
      </c>
      <c r="H808" s="112">
        <v>45811.0</v>
      </c>
      <c r="I808" s="110" t="s">
        <v>1621</v>
      </c>
      <c r="J808" s="104">
        <v>0.0</v>
      </c>
      <c r="K808" s="110" t="s">
        <v>2040</v>
      </c>
      <c r="L808" s="110" t="s">
        <v>2041</v>
      </c>
    </row>
    <row r="809">
      <c r="A809" s="110" t="s">
        <v>1622</v>
      </c>
      <c r="B809" s="104">
        <v>0.0</v>
      </c>
      <c r="C809" s="110" t="s">
        <v>293</v>
      </c>
      <c r="D809" s="110" t="s">
        <v>226</v>
      </c>
      <c r="E809" s="104">
        <v>0.0</v>
      </c>
      <c r="F809" s="104">
        <v>239.0</v>
      </c>
      <c r="G809" s="110" t="s">
        <v>218</v>
      </c>
      <c r="H809" s="112">
        <v>45954.0</v>
      </c>
      <c r="I809" s="110" t="s">
        <v>1622</v>
      </c>
      <c r="J809" s="104">
        <v>0.0</v>
      </c>
      <c r="K809" s="110" t="s">
        <v>2042</v>
      </c>
      <c r="L809" s="110" t="s">
        <v>2043</v>
      </c>
    </row>
    <row r="810">
      <c r="A810" s="110" t="s">
        <v>1624</v>
      </c>
      <c r="B810" s="104">
        <v>0.0</v>
      </c>
      <c r="C810" s="110" t="s">
        <v>273</v>
      </c>
      <c r="D810" s="110" t="s">
        <v>322</v>
      </c>
      <c r="E810" s="104">
        <v>0.0</v>
      </c>
      <c r="F810" s="104">
        <v>6.65</v>
      </c>
      <c r="G810" s="110" t="s">
        <v>257</v>
      </c>
      <c r="H810" s="112">
        <v>45848.0</v>
      </c>
      <c r="I810" s="110" t="s">
        <v>2044</v>
      </c>
      <c r="J810" s="104">
        <v>0.0</v>
      </c>
      <c r="K810" s="110" t="s">
        <v>2045</v>
      </c>
      <c r="L810" s="110" t="s">
        <v>2046</v>
      </c>
    </row>
    <row r="811">
      <c r="A811" s="110" t="s">
        <v>1626</v>
      </c>
      <c r="B811" s="110" t="s">
        <v>690</v>
      </c>
      <c r="C811" s="110" t="s">
        <v>261</v>
      </c>
      <c r="D811" s="110" t="s">
        <v>322</v>
      </c>
      <c r="E811" s="104">
        <v>0.0</v>
      </c>
      <c r="F811" s="104">
        <v>6.25</v>
      </c>
      <c r="G811" s="110" t="s">
        <v>446</v>
      </c>
      <c r="H811" s="112">
        <v>44887.0</v>
      </c>
      <c r="I811" s="104">
        <v>0.0</v>
      </c>
      <c r="J811" s="104">
        <v>0.0</v>
      </c>
      <c r="K811" s="110" t="s">
        <v>2047</v>
      </c>
      <c r="L811" s="110" t="s">
        <v>2048</v>
      </c>
    </row>
    <row r="812">
      <c r="A812" s="110" t="s">
        <v>1626</v>
      </c>
      <c r="B812" s="110" t="s">
        <v>690</v>
      </c>
      <c r="C812" s="110" t="s">
        <v>261</v>
      </c>
      <c r="D812" s="110" t="s">
        <v>322</v>
      </c>
      <c r="E812" s="104">
        <v>0.0</v>
      </c>
      <c r="F812" s="104">
        <v>9.0</v>
      </c>
      <c r="G812" s="110" t="s">
        <v>334</v>
      </c>
      <c r="H812" s="112">
        <v>45806.0</v>
      </c>
      <c r="I812" s="104">
        <v>0.0</v>
      </c>
      <c r="J812" s="104">
        <v>0.0</v>
      </c>
      <c r="K812" s="110" t="s">
        <v>2047</v>
      </c>
      <c r="L812" s="110" t="s">
        <v>2049</v>
      </c>
    </row>
    <row r="813">
      <c r="A813" s="110" t="s">
        <v>1628</v>
      </c>
      <c r="B813" s="104">
        <v>0.0</v>
      </c>
      <c r="C813" s="110" t="s">
        <v>273</v>
      </c>
      <c r="D813" s="110" t="s">
        <v>322</v>
      </c>
      <c r="E813" s="104">
        <v>0.0</v>
      </c>
      <c r="F813" s="104">
        <v>7.45</v>
      </c>
      <c r="G813" s="110" t="s">
        <v>238</v>
      </c>
      <c r="H813" s="112">
        <v>45848.0</v>
      </c>
      <c r="I813" s="110" t="s">
        <v>2050</v>
      </c>
      <c r="J813" s="104">
        <v>0.0</v>
      </c>
      <c r="K813" s="110" t="s">
        <v>2051</v>
      </c>
      <c r="L813" s="110" t="s">
        <v>2052</v>
      </c>
    </row>
    <row r="814">
      <c r="A814" s="110" t="s">
        <v>1630</v>
      </c>
      <c r="B814" s="104">
        <v>0.0</v>
      </c>
      <c r="C814" s="110" t="s">
        <v>261</v>
      </c>
      <c r="D814" s="110" t="s">
        <v>322</v>
      </c>
      <c r="E814" s="104">
        <v>0.0</v>
      </c>
      <c r="F814" s="104">
        <v>0.0</v>
      </c>
      <c r="G814" s="104">
        <v>0.0</v>
      </c>
      <c r="H814" s="112">
        <v>45869.0</v>
      </c>
      <c r="I814" s="110" t="s">
        <v>1630</v>
      </c>
      <c r="J814" s="104">
        <v>0.0</v>
      </c>
      <c r="K814" s="110" t="s">
        <v>2053</v>
      </c>
      <c r="L814" s="110" t="s">
        <v>2054</v>
      </c>
    </row>
    <row r="815">
      <c r="A815" s="110" t="s">
        <v>1633</v>
      </c>
      <c r="B815" s="104">
        <v>0.0</v>
      </c>
      <c r="C815" s="110" t="s">
        <v>331</v>
      </c>
      <c r="D815" s="110" t="s">
        <v>210</v>
      </c>
      <c r="E815" s="104">
        <v>0.0</v>
      </c>
      <c r="F815" s="104">
        <v>0.0</v>
      </c>
      <c r="G815" s="104">
        <v>0.0</v>
      </c>
      <c r="H815" s="104" t="s">
        <v>232</v>
      </c>
      <c r="I815" s="104">
        <v>0.0</v>
      </c>
      <c r="J815" s="104">
        <v>0.0</v>
      </c>
      <c r="K815" s="110" t="s">
        <v>2055</v>
      </c>
      <c r="L815" s="110" t="s">
        <v>2056</v>
      </c>
    </row>
    <row r="816">
      <c r="A816" s="110" t="s">
        <v>1636</v>
      </c>
      <c r="B816" s="104">
        <v>0.0</v>
      </c>
      <c r="C816" s="110" t="s">
        <v>209</v>
      </c>
      <c r="D816" s="110" t="s">
        <v>217</v>
      </c>
      <c r="E816" s="104">
        <v>0.0</v>
      </c>
      <c r="F816" s="104">
        <v>0.0</v>
      </c>
      <c r="G816" s="104">
        <v>0.0</v>
      </c>
      <c r="H816" s="104" t="s">
        <v>232</v>
      </c>
      <c r="I816" s="104">
        <v>0.0</v>
      </c>
      <c r="J816" s="104">
        <v>0.0</v>
      </c>
      <c r="K816" s="110" t="s">
        <v>2057</v>
      </c>
      <c r="L816" s="110" t="s">
        <v>2058</v>
      </c>
    </row>
    <row r="817">
      <c r="A817" s="110" t="s">
        <v>1638</v>
      </c>
      <c r="B817" s="104">
        <v>0.0</v>
      </c>
      <c r="C817" s="110" t="s">
        <v>417</v>
      </c>
      <c r="D817" s="110" t="s">
        <v>201</v>
      </c>
      <c r="E817" s="104">
        <v>0.0</v>
      </c>
      <c r="F817" s="104">
        <v>15.0</v>
      </c>
      <c r="G817" s="110" t="s">
        <v>1484</v>
      </c>
      <c r="H817" s="112">
        <v>45897.0</v>
      </c>
      <c r="I817" s="104">
        <v>0.0</v>
      </c>
      <c r="J817" s="104">
        <v>0.0</v>
      </c>
      <c r="K817" s="110" t="s">
        <v>2059</v>
      </c>
      <c r="L817" s="110" t="s">
        <v>2060</v>
      </c>
    </row>
    <row r="818">
      <c r="A818" s="110" t="s">
        <v>1640</v>
      </c>
      <c r="B818" s="110" t="s">
        <v>2061</v>
      </c>
      <c r="C818" s="110" t="s">
        <v>720</v>
      </c>
      <c r="D818" s="110" t="s">
        <v>210</v>
      </c>
      <c r="E818" s="104">
        <v>0.0</v>
      </c>
      <c r="F818" s="104">
        <v>302.0</v>
      </c>
      <c r="G818" s="110" t="s">
        <v>721</v>
      </c>
      <c r="H818" s="112">
        <v>45741.0</v>
      </c>
      <c r="I818" s="104">
        <v>0.0</v>
      </c>
      <c r="J818" s="104">
        <v>0.0</v>
      </c>
      <c r="K818" s="110" t="s">
        <v>2062</v>
      </c>
      <c r="L818" s="110" t="s">
        <v>2063</v>
      </c>
    </row>
    <row r="819">
      <c r="A819" s="110" t="s">
        <v>1640</v>
      </c>
      <c r="B819" s="110" t="s">
        <v>2061</v>
      </c>
      <c r="C819" s="110" t="s">
        <v>720</v>
      </c>
      <c r="D819" s="110" t="s">
        <v>210</v>
      </c>
      <c r="E819" s="104">
        <v>0.0</v>
      </c>
      <c r="F819" s="104">
        <v>270.0</v>
      </c>
      <c r="G819" s="110" t="s">
        <v>724</v>
      </c>
      <c r="H819" s="112">
        <v>45741.0</v>
      </c>
      <c r="I819" s="104">
        <v>0.0</v>
      </c>
      <c r="J819" s="104">
        <v>0.0</v>
      </c>
      <c r="K819" s="110" t="s">
        <v>2062</v>
      </c>
      <c r="L819" s="110" t="s">
        <v>2064</v>
      </c>
    </row>
    <row r="820">
      <c r="A820" s="110" t="s">
        <v>1640</v>
      </c>
      <c r="B820" s="110" t="s">
        <v>2061</v>
      </c>
      <c r="C820" s="110" t="s">
        <v>720</v>
      </c>
      <c r="D820" s="110" t="s">
        <v>210</v>
      </c>
      <c r="E820" s="104">
        <v>0.0</v>
      </c>
      <c r="F820" s="104">
        <v>225.0</v>
      </c>
      <c r="G820" s="110" t="s">
        <v>726</v>
      </c>
      <c r="H820" s="112">
        <v>45741.0</v>
      </c>
      <c r="I820" s="104">
        <v>0.0</v>
      </c>
      <c r="J820" s="104">
        <v>0.0</v>
      </c>
      <c r="K820" s="110" t="s">
        <v>2062</v>
      </c>
      <c r="L820" s="110" t="s">
        <v>2065</v>
      </c>
    </row>
    <row r="821">
      <c r="A821" s="110" t="s">
        <v>1640</v>
      </c>
      <c r="B821" s="110" t="s">
        <v>2061</v>
      </c>
      <c r="C821" s="110" t="s">
        <v>720</v>
      </c>
      <c r="D821" s="110" t="s">
        <v>210</v>
      </c>
      <c r="E821" s="104">
        <v>0.0</v>
      </c>
      <c r="F821" s="104">
        <v>215.0</v>
      </c>
      <c r="G821" s="110" t="s">
        <v>728</v>
      </c>
      <c r="H821" s="112">
        <v>45741.0</v>
      </c>
      <c r="I821" s="104">
        <v>0.0</v>
      </c>
      <c r="J821" s="104">
        <v>0.0</v>
      </c>
      <c r="K821" s="110" t="s">
        <v>2062</v>
      </c>
      <c r="L821" s="110" t="s">
        <v>2066</v>
      </c>
    </row>
    <row r="822">
      <c r="A822" s="110" t="s">
        <v>1642</v>
      </c>
      <c r="B822" s="110" t="s">
        <v>2067</v>
      </c>
      <c r="C822" s="110" t="s">
        <v>720</v>
      </c>
      <c r="D822" s="110" t="s">
        <v>210</v>
      </c>
      <c r="E822" s="104">
        <v>0.0</v>
      </c>
      <c r="F822" s="104">
        <v>168.0</v>
      </c>
      <c r="G822" s="110" t="s">
        <v>721</v>
      </c>
      <c r="H822" s="112">
        <v>45741.0</v>
      </c>
      <c r="I822" s="104">
        <v>0.0</v>
      </c>
      <c r="J822" s="104">
        <v>0.0</v>
      </c>
      <c r="K822" s="110" t="s">
        <v>2068</v>
      </c>
      <c r="L822" s="110" t="s">
        <v>2069</v>
      </c>
    </row>
    <row r="823">
      <c r="A823" s="110" t="s">
        <v>1642</v>
      </c>
      <c r="B823" s="110" t="s">
        <v>2067</v>
      </c>
      <c r="C823" s="110" t="s">
        <v>720</v>
      </c>
      <c r="D823" s="110" t="s">
        <v>210</v>
      </c>
      <c r="E823" s="104">
        <v>0.0</v>
      </c>
      <c r="F823" s="104">
        <v>138.0</v>
      </c>
      <c r="G823" s="110" t="s">
        <v>724</v>
      </c>
      <c r="H823" s="112">
        <v>45741.0</v>
      </c>
      <c r="I823" s="104">
        <v>0.0</v>
      </c>
      <c r="J823" s="104">
        <v>0.0</v>
      </c>
      <c r="K823" s="110" t="s">
        <v>2068</v>
      </c>
      <c r="L823" s="110" t="s">
        <v>2070</v>
      </c>
    </row>
    <row r="824">
      <c r="A824" s="110" t="s">
        <v>1642</v>
      </c>
      <c r="B824" s="110" t="s">
        <v>2067</v>
      </c>
      <c r="C824" s="110" t="s">
        <v>720</v>
      </c>
      <c r="D824" s="110" t="s">
        <v>210</v>
      </c>
      <c r="E824" s="104">
        <v>0.0</v>
      </c>
      <c r="F824" s="104">
        <v>102.0</v>
      </c>
      <c r="G824" s="110" t="s">
        <v>726</v>
      </c>
      <c r="H824" s="112">
        <v>45741.0</v>
      </c>
      <c r="I824" s="104">
        <v>0.0</v>
      </c>
      <c r="J824" s="104">
        <v>0.0</v>
      </c>
      <c r="K824" s="110" t="s">
        <v>2068</v>
      </c>
      <c r="L824" s="110" t="s">
        <v>2071</v>
      </c>
    </row>
    <row r="825">
      <c r="A825" s="110" t="s">
        <v>1642</v>
      </c>
      <c r="B825" s="110" t="s">
        <v>2067</v>
      </c>
      <c r="C825" s="110" t="s">
        <v>720</v>
      </c>
      <c r="D825" s="110" t="s">
        <v>210</v>
      </c>
      <c r="E825" s="104">
        <v>0.0</v>
      </c>
      <c r="F825" s="110" t="s">
        <v>1124</v>
      </c>
      <c r="G825" s="110" t="s">
        <v>728</v>
      </c>
      <c r="H825" s="112">
        <v>45741.0</v>
      </c>
      <c r="I825" s="104">
        <v>0.0</v>
      </c>
      <c r="J825" s="104">
        <v>0.0</v>
      </c>
      <c r="K825" s="110" t="s">
        <v>2068</v>
      </c>
      <c r="L825" s="110" t="s">
        <v>2072</v>
      </c>
    </row>
    <row r="826">
      <c r="A826" s="110" t="s">
        <v>1644</v>
      </c>
      <c r="B826" s="104">
        <v>0.0</v>
      </c>
      <c r="C826" s="110" t="s">
        <v>562</v>
      </c>
      <c r="D826" s="110" t="s">
        <v>217</v>
      </c>
      <c r="E826" s="104">
        <v>0.0</v>
      </c>
      <c r="F826" s="104">
        <v>13.5</v>
      </c>
      <c r="G826" s="110" t="s">
        <v>238</v>
      </c>
      <c r="H826" s="112">
        <v>45985.0</v>
      </c>
      <c r="I826" s="110" t="s">
        <v>1644</v>
      </c>
      <c r="J826" s="104">
        <v>0.0</v>
      </c>
      <c r="K826" s="110" t="s">
        <v>2073</v>
      </c>
      <c r="L826" s="110" t="s">
        <v>2074</v>
      </c>
    </row>
    <row r="827">
      <c r="A827" s="110" t="s">
        <v>1646</v>
      </c>
      <c r="B827" s="104">
        <v>0.0</v>
      </c>
      <c r="C827" s="110" t="s">
        <v>331</v>
      </c>
      <c r="D827" s="110" t="s">
        <v>210</v>
      </c>
      <c r="E827" s="104">
        <v>0.0</v>
      </c>
      <c r="F827" s="104">
        <v>33.0</v>
      </c>
      <c r="G827" s="110" t="s">
        <v>262</v>
      </c>
      <c r="H827" s="112">
        <v>45881.0</v>
      </c>
      <c r="I827" s="110" t="s">
        <v>1646</v>
      </c>
      <c r="J827" s="104">
        <v>0.0</v>
      </c>
      <c r="K827" s="110" t="s">
        <v>2075</v>
      </c>
      <c r="L827" s="110" t="s">
        <v>2076</v>
      </c>
    </row>
    <row r="828">
      <c r="A828" s="110" t="s">
        <v>1648</v>
      </c>
      <c r="B828" s="104">
        <v>0.0</v>
      </c>
      <c r="C828" s="110" t="s">
        <v>209</v>
      </c>
      <c r="D828" s="110" t="s">
        <v>217</v>
      </c>
      <c r="E828" s="104">
        <v>0.0</v>
      </c>
      <c r="F828" s="104">
        <v>0.0</v>
      </c>
      <c r="G828" s="104">
        <v>0.0</v>
      </c>
      <c r="H828" s="104" t="s">
        <v>232</v>
      </c>
      <c r="I828" s="104">
        <v>0.0</v>
      </c>
      <c r="J828" s="104">
        <v>0.0</v>
      </c>
      <c r="K828" s="110" t="s">
        <v>2077</v>
      </c>
      <c r="L828" s="110" t="s">
        <v>2078</v>
      </c>
    </row>
    <row r="829">
      <c r="A829" s="110" t="s">
        <v>1650</v>
      </c>
      <c r="B829" s="104">
        <v>0.0</v>
      </c>
      <c r="C829" s="110" t="s">
        <v>266</v>
      </c>
      <c r="D829" s="110" t="s">
        <v>217</v>
      </c>
      <c r="E829" s="104">
        <v>0.0</v>
      </c>
      <c r="F829" s="104">
        <v>19.0</v>
      </c>
      <c r="G829" s="110" t="s">
        <v>268</v>
      </c>
      <c r="H829" s="112">
        <v>45930.0</v>
      </c>
      <c r="I829" s="104">
        <v>0.0</v>
      </c>
      <c r="J829" s="104">
        <v>0.0</v>
      </c>
      <c r="K829" s="110" t="s">
        <v>2079</v>
      </c>
      <c r="L829" s="110" t="s">
        <v>2080</v>
      </c>
    </row>
    <row r="830">
      <c r="A830" s="110" t="s">
        <v>1652</v>
      </c>
      <c r="B830" s="104">
        <v>0.0</v>
      </c>
      <c r="C830" s="110" t="s">
        <v>317</v>
      </c>
      <c r="D830" s="110" t="s">
        <v>217</v>
      </c>
      <c r="E830" s="104">
        <v>0.0</v>
      </c>
      <c r="F830" s="104">
        <v>16.5</v>
      </c>
      <c r="G830" s="104">
        <v>0.0</v>
      </c>
      <c r="H830" s="112">
        <v>45874.0</v>
      </c>
      <c r="I830" s="104">
        <v>0.0</v>
      </c>
      <c r="J830" s="104">
        <v>0.0</v>
      </c>
      <c r="K830" s="110" t="s">
        <v>2081</v>
      </c>
      <c r="L830" s="110" t="s">
        <v>2082</v>
      </c>
    </row>
    <row r="831">
      <c r="A831" s="110" t="s">
        <v>1654</v>
      </c>
      <c r="B831" s="104">
        <v>0.0</v>
      </c>
      <c r="C831" s="110" t="s">
        <v>337</v>
      </c>
      <c r="D831" s="110" t="s">
        <v>217</v>
      </c>
      <c r="E831" s="104">
        <v>0.0</v>
      </c>
      <c r="F831" s="104">
        <v>35.0</v>
      </c>
      <c r="G831" s="110" t="s">
        <v>238</v>
      </c>
      <c r="H831" s="112">
        <v>45693.0</v>
      </c>
      <c r="I831" s="104">
        <v>0.0</v>
      </c>
      <c r="J831" s="104">
        <v>0.0</v>
      </c>
      <c r="K831" s="110" t="s">
        <v>2083</v>
      </c>
      <c r="L831" s="110" t="s">
        <v>2084</v>
      </c>
    </row>
    <row r="832">
      <c r="A832" s="110" t="s">
        <v>1657</v>
      </c>
      <c r="B832" s="104">
        <v>0.0</v>
      </c>
      <c r="C832" s="110" t="s">
        <v>386</v>
      </c>
      <c r="D832" s="110" t="s">
        <v>217</v>
      </c>
      <c r="E832" s="104">
        <v>0.0</v>
      </c>
      <c r="F832" s="104">
        <v>138.5</v>
      </c>
      <c r="G832" s="110" t="s">
        <v>238</v>
      </c>
      <c r="H832" s="112">
        <v>45663.0</v>
      </c>
      <c r="I832" s="104">
        <v>0.0</v>
      </c>
      <c r="J832" s="104">
        <v>0.0</v>
      </c>
      <c r="K832" s="110" t="s">
        <v>2085</v>
      </c>
      <c r="L832" s="110" t="s">
        <v>2086</v>
      </c>
    </row>
    <row r="833">
      <c r="A833" s="110" t="s">
        <v>1659</v>
      </c>
      <c r="B833" s="104">
        <v>0.0</v>
      </c>
      <c r="C833" s="110" t="s">
        <v>993</v>
      </c>
      <c r="D833" s="110" t="s">
        <v>217</v>
      </c>
      <c r="E833" s="104">
        <v>0.0</v>
      </c>
      <c r="F833" s="104">
        <v>1600.0</v>
      </c>
      <c r="G833" s="110" t="s">
        <v>1183</v>
      </c>
      <c r="H833" s="112">
        <v>45707.0</v>
      </c>
      <c r="I833" s="104">
        <v>0.0</v>
      </c>
      <c r="J833" s="104">
        <v>0.0</v>
      </c>
      <c r="K833" s="110" t="s">
        <v>2087</v>
      </c>
      <c r="L833" s="110" t="s">
        <v>2088</v>
      </c>
    </row>
    <row r="834">
      <c r="A834" s="110" t="s">
        <v>1661</v>
      </c>
      <c r="B834" s="104">
        <v>0.0</v>
      </c>
      <c r="C834" s="110" t="s">
        <v>209</v>
      </c>
      <c r="D834" s="110" t="s">
        <v>217</v>
      </c>
      <c r="E834" s="104">
        <v>0.0</v>
      </c>
      <c r="F834" s="104">
        <v>0.0</v>
      </c>
      <c r="G834" s="104">
        <v>0.0</v>
      </c>
      <c r="H834" s="104" t="s">
        <v>232</v>
      </c>
      <c r="I834" s="104">
        <v>0.0</v>
      </c>
      <c r="J834" s="104">
        <v>0.0</v>
      </c>
      <c r="K834" s="110" t="s">
        <v>2089</v>
      </c>
      <c r="L834" s="110" t="s">
        <v>2090</v>
      </c>
    </row>
    <row r="835">
      <c r="A835" s="110" t="s">
        <v>1662</v>
      </c>
      <c r="B835" s="104">
        <v>0.0</v>
      </c>
      <c r="C835" s="110" t="s">
        <v>2091</v>
      </c>
      <c r="D835" s="110" t="s">
        <v>544</v>
      </c>
      <c r="E835" s="104">
        <v>0.0</v>
      </c>
      <c r="F835" s="104">
        <v>43.32</v>
      </c>
      <c r="G835" s="110" t="s">
        <v>2092</v>
      </c>
      <c r="H835" s="112">
        <v>45859.0</v>
      </c>
      <c r="I835" s="110" t="s">
        <v>1662</v>
      </c>
      <c r="J835" s="104">
        <v>0.0</v>
      </c>
      <c r="K835" s="110" t="s">
        <v>2093</v>
      </c>
      <c r="L835" s="110" t="s">
        <v>2094</v>
      </c>
    </row>
    <row r="836">
      <c r="A836" s="110" t="s">
        <v>1663</v>
      </c>
      <c r="B836" s="104">
        <v>0.0</v>
      </c>
      <c r="C836" s="110" t="s">
        <v>2091</v>
      </c>
      <c r="D836" s="110" t="s">
        <v>544</v>
      </c>
      <c r="E836" s="104">
        <v>0.0</v>
      </c>
      <c r="F836" s="104">
        <v>45.53</v>
      </c>
      <c r="G836" s="110" t="s">
        <v>2092</v>
      </c>
      <c r="H836" s="112">
        <v>45859.0</v>
      </c>
      <c r="I836" s="110" t="s">
        <v>1663</v>
      </c>
      <c r="J836" s="104">
        <v>0.0</v>
      </c>
      <c r="K836" s="110" t="s">
        <v>2095</v>
      </c>
      <c r="L836" s="110" t="s">
        <v>2096</v>
      </c>
    </row>
    <row r="837">
      <c r="A837" s="110" t="s">
        <v>1665</v>
      </c>
      <c r="B837" s="104">
        <v>0.0</v>
      </c>
      <c r="C837" s="110" t="s">
        <v>2091</v>
      </c>
      <c r="D837" s="110" t="s">
        <v>226</v>
      </c>
      <c r="E837" s="104">
        <v>0.0</v>
      </c>
      <c r="F837" s="104">
        <v>76.39</v>
      </c>
      <c r="G837" s="110" t="s">
        <v>2097</v>
      </c>
      <c r="H837" s="112">
        <v>45854.0</v>
      </c>
      <c r="I837" s="110" t="s">
        <v>1665</v>
      </c>
      <c r="J837" s="104">
        <v>0.0</v>
      </c>
      <c r="K837" s="110" t="s">
        <v>2098</v>
      </c>
      <c r="L837" s="110" t="s">
        <v>2099</v>
      </c>
    </row>
    <row r="838">
      <c r="A838" s="110" t="s">
        <v>1667</v>
      </c>
      <c r="B838" s="104">
        <v>0.0</v>
      </c>
      <c r="C838" s="110" t="s">
        <v>2091</v>
      </c>
      <c r="D838" s="110" t="s">
        <v>226</v>
      </c>
      <c r="E838" s="104">
        <v>0.0</v>
      </c>
      <c r="F838" s="104">
        <v>54.01</v>
      </c>
      <c r="G838" s="110" t="s">
        <v>2097</v>
      </c>
      <c r="H838" s="112">
        <v>45854.0</v>
      </c>
      <c r="I838" s="110" t="s">
        <v>1667</v>
      </c>
      <c r="J838" s="104">
        <v>0.0</v>
      </c>
      <c r="K838" s="110" t="s">
        <v>2100</v>
      </c>
      <c r="L838" s="110" t="s">
        <v>2101</v>
      </c>
    </row>
    <row r="839">
      <c r="A839" s="110" t="s">
        <v>1668</v>
      </c>
      <c r="B839" s="104">
        <v>0.0</v>
      </c>
      <c r="C839" s="110" t="s">
        <v>2102</v>
      </c>
      <c r="D839" s="110" t="s">
        <v>544</v>
      </c>
      <c r="E839" s="104">
        <v>0.0</v>
      </c>
      <c r="F839" s="104">
        <v>113.8</v>
      </c>
      <c r="G839" s="110" t="s">
        <v>2103</v>
      </c>
      <c r="H839" s="112">
        <v>45860.0</v>
      </c>
      <c r="I839" s="110" t="s">
        <v>2104</v>
      </c>
      <c r="J839" s="104">
        <v>0.0</v>
      </c>
      <c r="K839" s="110" t="s">
        <v>2105</v>
      </c>
      <c r="L839" s="110" t="s">
        <v>2106</v>
      </c>
    </row>
    <row r="840">
      <c r="A840" s="110" t="s">
        <v>1668</v>
      </c>
      <c r="B840" s="104">
        <v>0.0</v>
      </c>
      <c r="C840" s="110" t="s">
        <v>2102</v>
      </c>
      <c r="D840" s="110" t="s">
        <v>544</v>
      </c>
      <c r="E840" s="104">
        <v>0.0</v>
      </c>
      <c r="F840" s="104">
        <v>95.75</v>
      </c>
      <c r="G840" s="110" t="s">
        <v>2107</v>
      </c>
      <c r="H840" s="112">
        <v>45860.0</v>
      </c>
      <c r="I840" s="110" t="s">
        <v>2104</v>
      </c>
      <c r="J840" s="104">
        <v>0.0</v>
      </c>
      <c r="K840" s="110" t="s">
        <v>2105</v>
      </c>
      <c r="L840" s="110" t="s">
        <v>2108</v>
      </c>
    </row>
    <row r="841">
      <c r="A841" s="110" t="s">
        <v>1668</v>
      </c>
      <c r="B841" s="104">
        <v>0.0</v>
      </c>
      <c r="C841" s="110" t="s">
        <v>2102</v>
      </c>
      <c r="D841" s="110" t="s">
        <v>544</v>
      </c>
      <c r="E841" s="104">
        <v>0.0</v>
      </c>
      <c r="F841" s="104">
        <v>90.87</v>
      </c>
      <c r="G841" s="110" t="s">
        <v>610</v>
      </c>
      <c r="H841" s="112">
        <v>45860.0</v>
      </c>
      <c r="I841" s="110" t="s">
        <v>2104</v>
      </c>
      <c r="J841" s="104">
        <v>0.0</v>
      </c>
      <c r="K841" s="110" t="s">
        <v>2105</v>
      </c>
      <c r="L841" s="110" t="s">
        <v>2109</v>
      </c>
    </row>
    <row r="842">
      <c r="A842" s="110" t="s">
        <v>1670</v>
      </c>
      <c r="B842" s="104">
        <v>0.0</v>
      </c>
      <c r="C842" s="110" t="s">
        <v>2110</v>
      </c>
      <c r="D842" s="110" t="s">
        <v>544</v>
      </c>
      <c r="E842" s="104">
        <v>0.0</v>
      </c>
      <c r="F842" s="104">
        <v>26.46</v>
      </c>
      <c r="G842" s="110" t="s">
        <v>1265</v>
      </c>
      <c r="H842" s="112">
        <v>45967.0</v>
      </c>
      <c r="I842" s="110" t="s">
        <v>1670</v>
      </c>
      <c r="J842" s="104">
        <v>0.0</v>
      </c>
      <c r="K842" s="110" t="s">
        <v>2111</v>
      </c>
      <c r="L842" s="110" t="s">
        <v>2112</v>
      </c>
    </row>
    <row r="843">
      <c r="A843" s="110" t="s">
        <v>1672</v>
      </c>
      <c r="B843" s="104">
        <v>0.0</v>
      </c>
      <c r="C843" s="110" t="s">
        <v>2091</v>
      </c>
      <c r="D843" s="110" t="s">
        <v>226</v>
      </c>
      <c r="E843" s="104">
        <v>0.0</v>
      </c>
      <c r="F843" s="104">
        <v>46.85</v>
      </c>
      <c r="G843" s="110" t="s">
        <v>2097</v>
      </c>
      <c r="H843" s="112">
        <v>45854.0</v>
      </c>
      <c r="I843" s="110" t="s">
        <v>1672</v>
      </c>
      <c r="J843" s="104">
        <v>0.0</v>
      </c>
      <c r="K843" s="110" t="s">
        <v>2113</v>
      </c>
      <c r="L843" s="110" t="s">
        <v>2114</v>
      </c>
    </row>
    <row r="844">
      <c r="A844" s="110" t="s">
        <v>1675</v>
      </c>
      <c r="B844" s="104">
        <v>0.0</v>
      </c>
      <c r="C844" s="110" t="s">
        <v>2091</v>
      </c>
      <c r="D844" s="110" t="s">
        <v>226</v>
      </c>
      <c r="E844" s="104">
        <v>0.0</v>
      </c>
      <c r="F844" s="104">
        <v>40.79</v>
      </c>
      <c r="G844" s="110" t="s">
        <v>2097</v>
      </c>
      <c r="H844" s="112">
        <v>45854.0</v>
      </c>
      <c r="I844" s="110" t="s">
        <v>1675</v>
      </c>
      <c r="J844" s="104">
        <v>0.0</v>
      </c>
      <c r="K844" s="110" t="s">
        <v>2115</v>
      </c>
      <c r="L844" s="110" t="s">
        <v>2116</v>
      </c>
    </row>
    <row r="845">
      <c r="A845" s="110" t="s">
        <v>1676</v>
      </c>
      <c r="B845" s="104">
        <v>0.0</v>
      </c>
      <c r="C845" s="110" t="s">
        <v>1339</v>
      </c>
      <c r="D845" s="110" t="s">
        <v>544</v>
      </c>
      <c r="E845" s="104">
        <v>0.0</v>
      </c>
      <c r="F845" s="104">
        <v>66.12</v>
      </c>
      <c r="G845" s="110" t="s">
        <v>2117</v>
      </c>
      <c r="H845" s="112">
        <v>45929.0</v>
      </c>
      <c r="I845" s="110" t="s">
        <v>1676</v>
      </c>
      <c r="J845" s="104">
        <v>0.0</v>
      </c>
      <c r="K845" s="110" t="s">
        <v>2118</v>
      </c>
      <c r="L845" s="110" t="s">
        <v>2119</v>
      </c>
    </row>
    <row r="846">
      <c r="A846" s="110" t="s">
        <v>1677</v>
      </c>
      <c r="B846" s="104">
        <v>0.0</v>
      </c>
      <c r="C846" s="110" t="s">
        <v>1339</v>
      </c>
      <c r="D846" s="110" t="s">
        <v>544</v>
      </c>
      <c r="E846" s="104">
        <v>0.0</v>
      </c>
      <c r="F846" s="104">
        <v>0.0</v>
      </c>
      <c r="G846" s="104">
        <v>863.7</v>
      </c>
      <c r="H846" s="104" t="s">
        <v>232</v>
      </c>
      <c r="I846" s="110" t="s">
        <v>1677</v>
      </c>
      <c r="J846" s="104">
        <v>0.0</v>
      </c>
      <c r="K846" s="110" t="s">
        <v>2120</v>
      </c>
      <c r="L846" s="110" t="s">
        <v>2121</v>
      </c>
    </row>
    <row r="847">
      <c r="A847" s="110" t="s">
        <v>1678</v>
      </c>
      <c r="B847" s="104">
        <v>0.0</v>
      </c>
      <c r="C847" s="110" t="s">
        <v>2091</v>
      </c>
      <c r="D847" s="110" t="s">
        <v>226</v>
      </c>
      <c r="E847" s="104">
        <v>0.0</v>
      </c>
      <c r="F847" s="104">
        <v>47.4</v>
      </c>
      <c r="G847" s="110" t="s">
        <v>2097</v>
      </c>
      <c r="H847" s="112">
        <v>45854.0</v>
      </c>
      <c r="I847" s="110" t="s">
        <v>2122</v>
      </c>
      <c r="J847" s="104">
        <v>0.0</v>
      </c>
      <c r="K847" s="110" t="s">
        <v>2123</v>
      </c>
      <c r="L847" s="110" t="s">
        <v>2124</v>
      </c>
    </row>
    <row r="848">
      <c r="A848" s="110" t="s">
        <v>1681</v>
      </c>
      <c r="B848" s="104">
        <v>0.0</v>
      </c>
      <c r="C848" s="110" t="s">
        <v>209</v>
      </c>
      <c r="D848" s="110" t="s">
        <v>217</v>
      </c>
      <c r="E848" s="104">
        <v>0.0</v>
      </c>
      <c r="F848" s="104">
        <v>0.0</v>
      </c>
      <c r="G848" s="104">
        <v>0.0</v>
      </c>
      <c r="H848" s="104" t="s">
        <v>232</v>
      </c>
      <c r="I848" s="104">
        <v>0.0</v>
      </c>
      <c r="J848" s="104">
        <v>0.0</v>
      </c>
      <c r="K848" s="110" t="s">
        <v>2125</v>
      </c>
      <c r="L848" s="110" t="s">
        <v>2126</v>
      </c>
    </row>
    <row r="849">
      <c r="A849" s="110" t="s">
        <v>1683</v>
      </c>
      <c r="B849" s="104">
        <v>0.0</v>
      </c>
      <c r="C849" s="110" t="s">
        <v>331</v>
      </c>
      <c r="D849" s="110" t="s">
        <v>210</v>
      </c>
      <c r="E849" s="104">
        <v>0.0</v>
      </c>
      <c r="F849" s="104">
        <v>79.0</v>
      </c>
      <c r="G849" s="110" t="s">
        <v>218</v>
      </c>
      <c r="H849" s="112">
        <v>45895.0</v>
      </c>
      <c r="I849" s="110" t="s">
        <v>1683</v>
      </c>
      <c r="J849" s="104">
        <v>0.0</v>
      </c>
      <c r="K849" s="110" t="s">
        <v>2127</v>
      </c>
      <c r="L849" s="110" t="s">
        <v>2128</v>
      </c>
    </row>
    <row r="850">
      <c r="A850" s="110" t="s">
        <v>1685</v>
      </c>
      <c r="B850" s="104">
        <v>0.0</v>
      </c>
      <c r="C850" s="110" t="s">
        <v>331</v>
      </c>
      <c r="D850" s="110" t="s">
        <v>210</v>
      </c>
      <c r="E850" s="104">
        <v>0.0</v>
      </c>
      <c r="F850" s="104">
        <v>70.0</v>
      </c>
      <c r="G850" s="110" t="s">
        <v>218</v>
      </c>
      <c r="H850" s="112">
        <v>45848.0</v>
      </c>
      <c r="I850" s="110" t="s">
        <v>1685</v>
      </c>
      <c r="J850" s="104">
        <v>0.0</v>
      </c>
      <c r="K850" s="110" t="s">
        <v>2129</v>
      </c>
      <c r="L850" s="110" t="s">
        <v>2130</v>
      </c>
    </row>
    <row r="851">
      <c r="A851" s="110" t="s">
        <v>1687</v>
      </c>
      <c r="B851" s="104">
        <v>0.0</v>
      </c>
      <c r="C851" s="110" t="s">
        <v>2131</v>
      </c>
      <c r="D851" s="110" t="s">
        <v>544</v>
      </c>
      <c r="E851" s="104">
        <v>0.0</v>
      </c>
      <c r="F851" s="104">
        <v>39.11</v>
      </c>
      <c r="G851" s="104">
        <v>45.36</v>
      </c>
      <c r="H851" s="112">
        <v>45965.0</v>
      </c>
      <c r="I851" s="110" t="s">
        <v>2132</v>
      </c>
      <c r="J851" s="104">
        <v>0.0</v>
      </c>
      <c r="K851" s="110" t="s">
        <v>2133</v>
      </c>
      <c r="L851" s="110" t="s">
        <v>2134</v>
      </c>
    </row>
    <row r="852">
      <c r="A852" s="110" t="s">
        <v>1690</v>
      </c>
      <c r="B852" s="104">
        <v>0.0</v>
      </c>
      <c r="C852" s="110" t="s">
        <v>602</v>
      </c>
      <c r="D852" s="110" t="s">
        <v>226</v>
      </c>
      <c r="E852" s="104">
        <v>0.0</v>
      </c>
      <c r="F852" s="104">
        <v>49.84</v>
      </c>
      <c r="G852" s="110" t="s">
        <v>606</v>
      </c>
      <c r="H852" s="112">
        <v>45819.0</v>
      </c>
      <c r="I852" s="110" t="s">
        <v>2135</v>
      </c>
      <c r="J852" s="104">
        <v>0.0</v>
      </c>
      <c r="K852" s="110" t="s">
        <v>2136</v>
      </c>
      <c r="L852" s="110" t="s">
        <v>2137</v>
      </c>
    </row>
    <row r="853">
      <c r="A853" s="110" t="s">
        <v>1690</v>
      </c>
      <c r="B853" s="104">
        <v>0.0</v>
      </c>
      <c r="C853" s="110" t="s">
        <v>602</v>
      </c>
      <c r="D853" s="110" t="s">
        <v>226</v>
      </c>
      <c r="E853" s="104">
        <v>0.0</v>
      </c>
      <c r="F853" s="104">
        <v>32.91</v>
      </c>
      <c r="G853" s="110" t="s">
        <v>608</v>
      </c>
      <c r="H853" s="112">
        <v>45819.0</v>
      </c>
      <c r="I853" s="110" t="s">
        <v>2135</v>
      </c>
      <c r="J853" s="104">
        <v>0.0</v>
      </c>
      <c r="K853" s="110" t="s">
        <v>2136</v>
      </c>
      <c r="L853" s="110" t="s">
        <v>2138</v>
      </c>
    </row>
    <row r="854">
      <c r="A854" s="110" t="s">
        <v>1690</v>
      </c>
      <c r="B854" s="104">
        <v>0.0</v>
      </c>
      <c r="C854" s="110" t="s">
        <v>602</v>
      </c>
      <c r="D854" s="110" t="s">
        <v>226</v>
      </c>
      <c r="E854" s="104">
        <v>0.0</v>
      </c>
      <c r="F854" s="104">
        <v>31.11</v>
      </c>
      <c r="G854" s="110" t="s">
        <v>610</v>
      </c>
      <c r="H854" s="112">
        <v>45819.0</v>
      </c>
      <c r="I854" s="110" t="s">
        <v>2135</v>
      </c>
      <c r="J854" s="104">
        <v>0.0</v>
      </c>
      <c r="K854" s="110" t="s">
        <v>2136</v>
      </c>
      <c r="L854" s="110" t="s">
        <v>2139</v>
      </c>
    </row>
    <row r="855">
      <c r="A855" s="110" t="s">
        <v>1692</v>
      </c>
      <c r="B855" s="110" t="s">
        <v>638</v>
      </c>
      <c r="C855" s="110" t="s">
        <v>767</v>
      </c>
      <c r="D855" s="110" t="s">
        <v>2140</v>
      </c>
      <c r="E855" s="104">
        <v>0.0</v>
      </c>
      <c r="F855" s="104">
        <v>40.0</v>
      </c>
      <c r="G855" s="110" t="s">
        <v>218</v>
      </c>
      <c r="H855" s="112">
        <v>45677.0</v>
      </c>
      <c r="I855" s="104">
        <v>0.0</v>
      </c>
      <c r="J855" s="104">
        <v>0.0</v>
      </c>
      <c r="K855" s="110" t="s">
        <v>2141</v>
      </c>
      <c r="L855" s="110" t="s">
        <v>2142</v>
      </c>
    </row>
    <row r="856">
      <c r="A856" s="110" t="s">
        <v>1694</v>
      </c>
      <c r="B856" s="104">
        <v>0.0</v>
      </c>
      <c r="C856" s="110" t="s">
        <v>2143</v>
      </c>
      <c r="D856" s="110" t="s">
        <v>544</v>
      </c>
      <c r="E856" s="104">
        <v>0.0</v>
      </c>
      <c r="F856" s="104">
        <v>70.55</v>
      </c>
      <c r="G856" s="110" t="s">
        <v>2144</v>
      </c>
      <c r="H856" s="112">
        <v>45967.0</v>
      </c>
      <c r="I856" s="110" t="s">
        <v>1694</v>
      </c>
      <c r="J856" s="104">
        <v>0.0</v>
      </c>
      <c r="K856" s="110" t="s">
        <v>2145</v>
      </c>
      <c r="L856" s="110" t="s">
        <v>2146</v>
      </c>
    </row>
    <row r="857">
      <c r="A857" s="110" t="s">
        <v>1696</v>
      </c>
      <c r="B857" s="104">
        <v>0.0</v>
      </c>
      <c r="C857" s="110" t="s">
        <v>543</v>
      </c>
      <c r="D857" s="110" t="s">
        <v>544</v>
      </c>
      <c r="E857" s="104">
        <v>0.0</v>
      </c>
      <c r="F857" s="104">
        <v>116.44</v>
      </c>
      <c r="G857" s="110" t="s">
        <v>2147</v>
      </c>
      <c r="H857" s="112">
        <v>45985.0</v>
      </c>
      <c r="I857" s="110" t="s">
        <v>1696</v>
      </c>
      <c r="J857" s="104">
        <v>0.0</v>
      </c>
      <c r="K857" s="110" t="s">
        <v>2148</v>
      </c>
      <c r="L857" s="110" t="s">
        <v>2149</v>
      </c>
    </row>
    <row r="858">
      <c r="A858" s="110" t="s">
        <v>1696</v>
      </c>
      <c r="B858" s="104">
        <v>0.0</v>
      </c>
      <c r="C858" s="110" t="s">
        <v>543</v>
      </c>
      <c r="D858" s="110" t="s">
        <v>544</v>
      </c>
      <c r="E858" s="104">
        <v>0.0</v>
      </c>
      <c r="F858" s="104">
        <v>75.04</v>
      </c>
      <c r="G858" s="110" t="s">
        <v>2150</v>
      </c>
      <c r="H858" s="112">
        <v>45985.0</v>
      </c>
      <c r="I858" s="110" t="s">
        <v>1696</v>
      </c>
      <c r="J858" s="104">
        <v>0.0</v>
      </c>
      <c r="K858" s="110" t="s">
        <v>2148</v>
      </c>
      <c r="L858" s="110" t="s">
        <v>2151</v>
      </c>
    </row>
    <row r="859">
      <c r="A859" s="110" t="s">
        <v>1698</v>
      </c>
      <c r="B859" s="104">
        <v>0.0</v>
      </c>
      <c r="C859" s="110" t="s">
        <v>543</v>
      </c>
      <c r="D859" s="110" t="s">
        <v>544</v>
      </c>
      <c r="E859" s="104">
        <v>0.0</v>
      </c>
      <c r="F859" s="104">
        <v>64.46</v>
      </c>
      <c r="G859" s="110" t="s">
        <v>206</v>
      </c>
      <c r="H859" s="112">
        <v>45964.0</v>
      </c>
      <c r="I859" s="110" t="s">
        <v>1698</v>
      </c>
      <c r="J859" s="104">
        <v>0.0</v>
      </c>
      <c r="K859" s="110" t="s">
        <v>2152</v>
      </c>
      <c r="L859" s="110" t="s">
        <v>2153</v>
      </c>
    </row>
    <row r="860">
      <c r="A860" s="110" t="s">
        <v>1698</v>
      </c>
      <c r="B860" s="104">
        <v>0.0</v>
      </c>
      <c r="C860" s="110" t="s">
        <v>543</v>
      </c>
      <c r="D860" s="110" t="s">
        <v>544</v>
      </c>
      <c r="E860" s="104">
        <v>0.0</v>
      </c>
      <c r="F860" s="104">
        <v>45.17</v>
      </c>
      <c r="G860" s="110" t="s">
        <v>547</v>
      </c>
      <c r="H860" s="112">
        <v>45964.0</v>
      </c>
      <c r="I860" s="110" t="s">
        <v>1698</v>
      </c>
      <c r="J860" s="104">
        <v>0.0</v>
      </c>
      <c r="K860" s="110" t="s">
        <v>2152</v>
      </c>
      <c r="L860" s="110" t="s">
        <v>2154</v>
      </c>
    </row>
    <row r="861">
      <c r="A861" s="110" t="s">
        <v>1698</v>
      </c>
      <c r="B861" s="104">
        <v>0.0</v>
      </c>
      <c r="C861" s="110" t="s">
        <v>543</v>
      </c>
      <c r="D861" s="110" t="s">
        <v>544</v>
      </c>
      <c r="E861" s="104">
        <v>0.0</v>
      </c>
      <c r="F861" s="104">
        <v>42.15</v>
      </c>
      <c r="G861" s="110" t="s">
        <v>549</v>
      </c>
      <c r="H861" s="112">
        <v>45964.0</v>
      </c>
      <c r="I861" s="110" t="s">
        <v>1698</v>
      </c>
      <c r="J861" s="104">
        <v>0.0</v>
      </c>
      <c r="K861" s="110" t="s">
        <v>2152</v>
      </c>
      <c r="L861" s="110" t="s">
        <v>2155</v>
      </c>
    </row>
    <row r="862">
      <c r="A862" s="110" t="s">
        <v>1700</v>
      </c>
      <c r="B862" s="104">
        <v>0.0</v>
      </c>
      <c r="C862" s="110" t="s">
        <v>209</v>
      </c>
      <c r="D862" s="110" t="s">
        <v>217</v>
      </c>
      <c r="E862" s="104">
        <v>0.0</v>
      </c>
      <c r="F862" s="104">
        <v>0.0</v>
      </c>
      <c r="G862" s="104">
        <v>0.0</v>
      </c>
      <c r="H862" s="104" t="s">
        <v>232</v>
      </c>
      <c r="I862" s="104">
        <v>0.0</v>
      </c>
      <c r="J862" s="104">
        <v>0.0</v>
      </c>
      <c r="K862" s="110" t="s">
        <v>2156</v>
      </c>
      <c r="L862" s="110" t="s">
        <v>2157</v>
      </c>
    </row>
    <row r="863">
      <c r="A863" s="110" t="s">
        <v>1702</v>
      </c>
      <c r="B863" s="110" t="s">
        <v>1702</v>
      </c>
      <c r="C863" s="110" t="s">
        <v>325</v>
      </c>
      <c r="D863" s="110" t="s">
        <v>267</v>
      </c>
      <c r="E863" s="104">
        <v>0.0</v>
      </c>
      <c r="F863" s="104">
        <v>0.0</v>
      </c>
      <c r="G863" s="104">
        <v>0.0</v>
      </c>
      <c r="H863" s="112">
        <v>44887.0</v>
      </c>
      <c r="I863" s="104">
        <v>0.0</v>
      </c>
      <c r="J863" s="104">
        <v>0.0</v>
      </c>
      <c r="K863" s="110" t="s">
        <v>2158</v>
      </c>
      <c r="L863" s="110" t="s">
        <v>2159</v>
      </c>
    </row>
    <row r="864">
      <c r="A864" s="110" t="s">
        <v>1704</v>
      </c>
      <c r="B864" s="104">
        <v>0.0</v>
      </c>
      <c r="C864" s="110" t="s">
        <v>337</v>
      </c>
      <c r="D864" s="110" t="s">
        <v>217</v>
      </c>
      <c r="E864" s="104">
        <v>0.0</v>
      </c>
      <c r="F864" s="104">
        <v>14.5</v>
      </c>
      <c r="G864" s="110" t="s">
        <v>238</v>
      </c>
      <c r="H864" s="112">
        <v>45846.0</v>
      </c>
      <c r="I864" s="110" t="s">
        <v>1704</v>
      </c>
      <c r="J864" s="104">
        <v>0.0</v>
      </c>
      <c r="K864" s="110" t="s">
        <v>2160</v>
      </c>
      <c r="L864" s="110" t="s">
        <v>2161</v>
      </c>
    </row>
    <row r="865">
      <c r="A865" s="110" t="s">
        <v>1704</v>
      </c>
      <c r="B865" s="104">
        <v>0.0</v>
      </c>
      <c r="C865" s="110" t="s">
        <v>209</v>
      </c>
      <c r="D865" s="110" t="s">
        <v>217</v>
      </c>
      <c r="E865" s="104">
        <v>0.0</v>
      </c>
      <c r="F865" s="104">
        <v>9.5</v>
      </c>
      <c r="G865" s="110" t="s">
        <v>238</v>
      </c>
      <c r="H865" s="112">
        <v>45846.0</v>
      </c>
      <c r="I865" s="110" t="s">
        <v>1704</v>
      </c>
      <c r="J865" s="104">
        <v>0.0</v>
      </c>
      <c r="K865" s="110" t="s">
        <v>2162</v>
      </c>
      <c r="L865" s="110" t="s">
        <v>2163</v>
      </c>
    </row>
    <row r="866">
      <c r="A866" s="110" t="s">
        <v>1706</v>
      </c>
      <c r="B866" s="104">
        <v>0.0</v>
      </c>
      <c r="C866" s="110" t="s">
        <v>209</v>
      </c>
      <c r="D866" s="110" t="s">
        <v>217</v>
      </c>
      <c r="E866" s="104">
        <v>0.0</v>
      </c>
      <c r="F866" s="104">
        <v>10.0</v>
      </c>
      <c r="G866" s="110" t="s">
        <v>238</v>
      </c>
      <c r="H866" s="112">
        <v>45915.0</v>
      </c>
      <c r="I866" s="110" t="s">
        <v>1706</v>
      </c>
      <c r="J866" s="104">
        <v>0.0</v>
      </c>
      <c r="K866" s="110" t="s">
        <v>2164</v>
      </c>
      <c r="L866" s="110" t="s">
        <v>2165</v>
      </c>
    </row>
    <row r="867">
      <c r="A867" s="110" t="s">
        <v>1708</v>
      </c>
      <c r="B867" s="104">
        <v>0.0</v>
      </c>
      <c r="C867" s="110" t="s">
        <v>337</v>
      </c>
      <c r="D867" s="110" t="s">
        <v>217</v>
      </c>
      <c r="E867" s="104">
        <v>0.0</v>
      </c>
      <c r="F867" s="104">
        <v>15.0</v>
      </c>
      <c r="G867" s="110" t="s">
        <v>238</v>
      </c>
      <c r="H867" s="112">
        <v>45603.0</v>
      </c>
      <c r="I867" s="104">
        <v>0.0</v>
      </c>
      <c r="J867" s="104">
        <v>0.0</v>
      </c>
      <c r="K867" s="110" t="s">
        <v>2166</v>
      </c>
      <c r="L867" s="110" t="s">
        <v>2167</v>
      </c>
    </row>
    <row r="868">
      <c r="A868" s="110" t="s">
        <v>1710</v>
      </c>
      <c r="B868" s="104">
        <v>0.0</v>
      </c>
      <c r="C868" s="110" t="s">
        <v>209</v>
      </c>
      <c r="D868" s="110" t="s">
        <v>217</v>
      </c>
      <c r="E868" s="104">
        <v>0.0</v>
      </c>
      <c r="F868" s="104">
        <v>0.0</v>
      </c>
      <c r="G868" s="104">
        <v>0.0</v>
      </c>
      <c r="H868" s="104" t="s">
        <v>232</v>
      </c>
      <c r="I868" s="104">
        <v>0.0</v>
      </c>
      <c r="J868" s="104">
        <v>0.0</v>
      </c>
      <c r="K868" s="110" t="s">
        <v>2168</v>
      </c>
      <c r="L868" s="110" t="s">
        <v>2169</v>
      </c>
    </row>
    <row r="869">
      <c r="A869" s="110" t="s">
        <v>1712</v>
      </c>
      <c r="B869" s="104">
        <v>0.0</v>
      </c>
      <c r="C869" s="110" t="s">
        <v>317</v>
      </c>
      <c r="D869" s="110" t="s">
        <v>217</v>
      </c>
      <c r="E869" s="104">
        <v>0.0</v>
      </c>
      <c r="F869" s="104">
        <v>115.0</v>
      </c>
      <c r="G869" s="104">
        <v>0.0</v>
      </c>
      <c r="H869" s="112">
        <v>45874.0</v>
      </c>
      <c r="I869" s="104">
        <v>0.0</v>
      </c>
      <c r="J869" s="104">
        <v>0.0</v>
      </c>
      <c r="K869" s="110" t="s">
        <v>2170</v>
      </c>
      <c r="L869" s="110" t="s">
        <v>2171</v>
      </c>
    </row>
    <row r="870">
      <c r="A870" s="110" t="s">
        <v>1714</v>
      </c>
      <c r="B870" s="104">
        <v>0.0</v>
      </c>
      <c r="C870" s="110" t="s">
        <v>317</v>
      </c>
      <c r="D870" s="110" t="s">
        <v>217</v>
      </c>
      <c r="E870" s="104">
        <v>0.0</v>
      </c>
      <c r="F870" s="104">
        <v>255.0</v>
      </c>
      <c r="G870" s="104">
        <v>0.0</v>
      </c>
      <c r="H870" s="112">
        <v>45874.0</v>
      </c>
      <c r="I870" s="104">
        <v>0.0</v>
      </c>
      <c r="J870" s="104">
        <v>0.0</v>
      </c>
      <c r="K870" s="110" t="s">
        <v>2172</v>
      </c>
      <c r="L870" s="110" t="s">
        <v>2173</v>
      </c>
    </row>
    <row r="871">
      <c r="A871" s="110" t="s">
        <v>1714</v>
      </c>
      <c r="B871" s="104">
        <v>0.0</v>
      </c>
      <c r="C871" s="110" t="s">
        <v>317</v>
      </c>
      <c r="D871" s="110" t="s">
        <v>217</v>
      </c>
      <c r="E871" s="104">
        <v>0.0</v>
      </c>
      <c r="F871" s="104">
        <v>235.0</v>
      </c>
      <c r="G871" s="104">
        <v>0.0</v>
      </c>
      <c r="H871" s="112">
        <v>45881.0</v>
      </c>
      <c r="I871" s="110" t="s">
        <v>1714</v>
      </c>
      <c r="J871" s="104">
        <v>0.0</v>
      </c>
      <c r="K871" s="110" t="s">
        <v>2172</v>
      </c>
      <c r="L871" s="110" t="s">
        <v>2174</v>
      </c>
    </row>
    <row r="872">
      <c r="A872" s="110" t="s">
        <v>1714</v>
      </c>
      <c r="B872" s="104">
        <v>0.0</v>
      </c>
      <c r="C872" s="110" t="s">
        <v>993</v>
      </c>
      <c r="D872" s="110" t="s">
        <v>217</v>
      </c>
      <c r="E872" s="104">
        <v>0.0</v>
      </c>
      <c r="F872" s="104">
        <v>270.0</v>
      </c>
      <c r="G872" s="110" t="s">
        <v>1489</v>
      </c>
      <c r="H872" s="112">
        <v>45707.0</v>
      </c>
      <c r="I872" s="104">
        <v>0.0</v>
      </c>
      <c r="J872" s="104">
        <v>0.0</v>
      </c>
      <c r="K872" s="110" t="s">
        <v>2175</v>
      </c>
      <c r="L872" s="110" t="s">
        <v>2176</v>
      </c>
    </row>
    <row r="873">
      <c r="A873" s="110" t="s">
        <v>1716</v>
      </c>
      <c r="B873" s="104">
        <v>0.0</v>
      </c>
      <c r="C873" s="110" t="s">
        <v>1086</v>
      </c>
      <c r="D873" s="110" t="s">
        <v>612</v>
      </c>
      <c r="E873" s="104">
        <v>0.0</v>
      </c>
      <c r="F873" s="104">
        <v>0.0</v>
      </c>
      <c r="G873" s="104">
        <v>0.0</v>
      </c>
      <c r="H873" s="112">
        <v>45946.0</v>
      </c>
      <c r="I873" s="110" t="s">
        <v>1716</v>
      </c>
      <c r="J873" s="104">
        <v>0.0</v>
      </c>
      <c r="K873" s="110" t="s">
        <v>2177</v>
      </c>
      <c r="L873" s="110" t="s">
        <v>2178</v>
      </c>
    </row>
    <row r="874">
      <c r="A874" s="110" t="s">
        <v>1716</v>
      </c>
      <c r="B874" s="104">
        <v>0.0</v>
      </c>
      <c r="C874" s="110" t="s">
        <v>1424</v>
      </c>
      <c r="D874" s="110" t="s">
        <v>612</v>
      </c>
      <c r="E874" s="104">
        <v>0.0</v>
      </c>
      <c r="F874" s="104">
        <v>280.98</v>
      </c>
      <c r="G874" s="110" t="s">
        <v>2179</v>
      </c>
      <c r="H874" s="112">
        <v>45945.0</v>
      </c>
      <c r="I874" s="110" t="s">
        <v>1716</v>
      </c>
      <c r="J874" s="104">
        <v>0.0</v>
      </c>
      <c r="K874" s="110" t="s">
        <v>2180</v>
      </c>
      <c r="L874" s="110" t="s">
        <v>2181</v>
      </c>
    </row>
    <row r="875">
      <c r="A875" s="110" t="s">
        <v>1716</v>
      </c>
      <c r="B875" s="104">
        <v>0.0</v>
      </c>
      <c r="C875" s="110" t="s">
        <v>2182</v>
      </c>
      <c r="D875" s="110" t="s">
        <v>612</v>
      </c>
      <c r="E875" s="104">
        <v>0.0</v>
      </c>
      <c r="F875" s="104">
        <v>203.09</v>
      </c>
      <c r="G875" s="110" t="s">
        <v>2183</v>
      </c>
      <c r="H875" s="112">
        <v>45945.0</v>
      </c>
      <c r="I875" s="104">
        <v>0.0</v>
      </c>
      <c r="J875" s="104">
        <v>0.0</v>
      </c>
      <c r="K875" s="110" t="s">
        <v>2184</v>
      </c>
      <c r="L875" s="110" t="s">
        <v>2185</v>
      </c>
    </row>
    <row r="876">
      <c r="A876" s="110" t="s">
        <v>1718</v>
      </c>
      <c r="B876" s="104">
        <v>0.0</v>
      </c>
      <c r="C876" s="110" t="s">
        <v>1086</v>
      </c>
      <c r="D876" s="110" t="s">
        <v>612</v>
      </c>
      <c r="E876" s="104">
        <v>0.0</v>
      </c>
      <c r="F876" s="104">
        <v>480.75</v>
      </c>
      <c r="G876" s="110" t="s">
        <v>2186</v>
      </c>
      <c r="H876" s="112">
        <v>45946.0</v>
      </c>
      <c r="I876" s="110" t="s">
        <v>1716</v>
      </c>
      <c r="J876" s="104">
        <v>0.0</v>
      </c>
      <c r="K876" s="110" t="s">
        <v>2187</v>
      </c>
      <c r="L876" s="110" t="s">
        <v>2188</v>
      </c>
    </row>
    <row r="877">
      <c r="A877" s="110" t="s">
        <v>1720</v>
      </c>
      <c r="B877" s="104">
        <v>0.0</v>
      </c>
      <c r="C877" s="110" t="s">
        <v>1424</v>
      </c>
      <c r="D877" s="110" t="s">
        <v>612</v>
      </c>
      <c r="E877" s="104">
        <v>0.0</v>
      </c>
      <c r="F877" s="104">
        <v>0.0</v>
      </c>
      <c r="G877" s="110" t="s">
        <v>2189</v>
      </c>
      <c r="H877" s="112">
        <v>45946.0</v>
      </c>
      <c r="I877" s="110" t="s">
        <v>1716</v>
      </c>
      <c r="J877" s="104">
        <v>0.0</v>
      </c>
      <c r="K877" s="110" t="s">
        <v>2190</v>
      </c>
      <c r="L877" s="110" t="s">
        <v>2191</v>
      </c>
    </row>
    <row r="878">
      <c r="A878" s="110" t="s">
        <v>1722</v>
      </c>
      <c r="B878" s="104">
        <v>0.0</v>
      </c>
      <c r="C878" s="110" t="s">
        <v>993</v>
      </c>
      <c r="D878" s="110" t="s">
        <v>217</v>
      </c>
      <c r="E878" s="104">
        <v>0.0</v>
      </c>
      <c r="F878" s="104">
        <v>120.0</v>
      </c>
      <c r="G878" s="110" t="s">
        <v>1489</v>
      </c>
      <c r="H878" s="112">
        <v>45707.0</v>
      </c>
      <c r="I878" s="104">
        <v>0.0</v>
      </c>
      <c r="J878" s="104">
        <v>0.0</v>
      </c>
      <c r="K878" s="110" t="s">
        <v>2192</v>
      </c>
      <c r="L878" s="110" t="s">
        <v>2193</v>
      </c>
    </row>
    <row r="879">
      <c r="A879" s="110" t="s">
        <v>1724</v>
      </c>
      <c r="B879" s="104">
        <v>0.0</v>
      </c>
      <c r="C879" s="110" t="s">
        <v>317</v>
      </c>
      <c r="D879" s="110" t="s">
        <v>217</v>
      </c>
      <c r="E879" s="104">
        <v>0.0</v>
      </c>
      <c r="F879" s="104">
        <v>1200.0</v>
      </c>
      <c r="G879" s="104">
        <v>0.0</v>
      </c>
      <c r="H879" s="112">
        <v>45874.0</v>
      </c>
      <c r="I879" s="104">
        <v>0.0</v>
      </c>
      <c r="J879" s="104">
        <v>0.0</v>
      </c>
      <c r="K879" s="110" t="s">
        <v>2194</v>
      </c>
      <c r="L879" s="110" t="s">
        <v>2195</v>
      </c>
    </row>
    <row r="880">
      <c r="A880" s="110" t="s">
        <v>1724</v>
      </c>
      <c r="B880" s="104">
        <v>0.0</v>
      </c>
      <c r="C880" s="110" t="s">
        <v>993</v>
      </c>
      <c r="D880" s="110" t="s">
        <v>217</v>
      </c>
      <c r="E880" s="104">
        <v>0.0</v>
      </c>
      <c r="F880" s="104">
        <v>1600.0</v>
      </c>
      <c r="G880" s="110" t="s">
        <v>1183</v>
      </c>
      <c r="H880" s="112">
        <v>45707.0</v>
      </c>
      <c r="I880" s="104">
        <v>0.0</v>
      </c>
      <c r="J880" s="104">
        <v>0.0</v>
      </c>
      <c r="K880" s="110" t="s">
        <v>2196</v>
      </c>
      <c r="L880" s="110" t="s">
        <v>2197</v>
      </c>
    </row>
    <row r="881">
      <c r="A881" s="110" t="s">
        <v>1726</v>
      </c>
      <c r="B881" s="110" t="s">
        <v>1726</v>
      </c>
      <c r="C881" s="110" t="s">
        <v>2198</v>
      </c>
      <c r="D881" s="110" t="s">
        <v>217</v>
      </c>
      <c r="E881" s="104">
        <v>0.0</v>
      </c>
      <c r="F881" s="104">
        <v>0.0</v>
      </c>
      <c r="G881" s="104">
        <v>0.0</v>
      </c>
      <c r="H881" s="104" t="s">
        <v>232</v>
      </c>
      <c r="I881" s="104">
        <v>0.0</v>
      </c>
      <c r="J881" s="104">
        <v>0.0</v>
      </c>
      <c r="K881" s="110" t="s">
        <v>2199</v>
      </c>
      <c r="L881" s="110" t="s">
        <v>2200</v>
      </c>
    </row>
    <row r="882">
      <c r="A882" s="110" t="s">
        <v>1728</v>
      </c>
      <c r="B882" s="104">
        <v>0.0</v>
      </c>
      <c r="C882" s="110" t="s">
        <v>2201</v>
      </c>
      <c r="D882" s="110" t="s">
        <v>210</v>
      </c>
      <c r="E882" s="104">
        <v>0.0</v>
      </c>
      <c r="F882" s="104">
        <v>12.9</v>
      </c>
      <c r="G882" s="110" t="s">
        <v>2202</v>
      </c>
      <c r="H882" s="112">
        <v>45827.0</v>
      </c>
      <c r="I882" s="110" t="s">
        <v>2203</v>
      </c>
      <c r="J882" s="104">
        <v>0.0</v>
      </c>
      <c r="K882" s="110" t="s">
        <v>2204</v>
      </c>
      <c r="L882" s="110" t="s">
        <v>2205</v>
      </c>
    </row>
    <row r="883">
      <c r="A883" s="110" t="s">
        <v>1728</v>
      </c>
      <c r="B883" s="104">
        <v>0.0</v>
      </c>
      <c r="C883" s="110" t="s">
        <v>2201</v>
      </c>
      <c r="D883" s="110" t="s">
        <v>210</v>
      </c>
      <c r="E883" s="104">
        <v>0.0</v>
      </c>
      <c r="F883" s="104">
        <v>12.46</v>
      </c>
      <c r="G883" s="110" t="s">
        <v>2206</v>
      </c>
      <c r="H883" s="112">
        <v>45827.0</v>
      </c>
      <c r="I883" s="110" t="s">
        <v>2203</v>
      </c>
      <c r="J883" s="104">
        <v>0.0</v>
      </c>
      <c r="K883" s="110" t="s">
        <v>2204</v>
      </c>
      <c r="L883" s="110" t="s">
        <v>2207</v>
      </c>
    </row>
    <row r="884">
      <c r="A884" s="110" t="s">
        <v>1728</v>
      </c>
      <c r="B884" s="104">
        <v>0.0</v>
      </c>
      <c r="C884" s="110" t="s">
        <v>2201</v>
      </c>
      <c r="D884" s="110" t="s">
        <v>210</v>
      </c>
      <c r="E884" s="104">
        <v>0.0</v>
      </c>
      <c r="F884" s="104">
        <v>12.15</v>
      </c>
      <c r="G884" s="110" t="s">
        <v>2208</v>
      </c>
      <c r="H884" s="112">
        <v>45827.0</v>
      </c>
      <c r="I884" s="110" t="s">
        <v>2203</v>
      </c>
      <c r="J884" s="104">
        <v>0.0</v>
      </c>
      <c r="K884" s="110" t="s">
        <v>2204</v>
      </c>
      <c r="L884" s="110" t="s">
        <v>2209</v>
      </c>
    </row>
    <row r="885">
      <c r="A885" s="110" t="s">
        <v>1730</v>
      </c>
      <c r="B885" s="104">
        <v>0.0</v>
      </c>
      <c r="C885" s="110" t="s">
        <v>317</v>
      </c>
      <c r="D885" s="110" t="s">
        <v>217</v>
      </c>
      <c r="E885" s="104">
        <v>0.0</v>
      </c>
      <c r="F885" s="104">
        <v>140.0</v>
      </c>
      <c r="G885" s="104">
        <v>0.0</v>
      </c>
      <c r="H885" s="112">
        <v>45874.0</v>
      </c>
      <c r="I885" s="104">
        <v>0.0</v>
      </c>
      <c r="J885" s="104">
        <v>0.0</v>
      </c>
      <c r="K885" s="110" t="s">
        <v>2210</v>
      </c>
      <c r="L885" s="110" t="s">
        <v>2211</v>
      </c>
    </row>
    <row r="886">
      <c r="A886" s="110" t="s">
        <v>1730</v>
      </c>
      <c r="B886" s="104">
        <v>0.0</v>
      </c>
      <c r="C886" s="110" t="s">
        <v>993</v>
      </c>
      <c r="D886" s="110" t="s">
        <v>217</v>
      </c>
      <c r="E886" s="104">
        <v>0.0</v>
      </c>
      <c r="F886" s="104">
        <v>120.0</v>
      </c>
      <c r="G886" s="110" t="s">
        <v>1489</v>
      </c>
      <c r="H886" s="112">
        <v>45707.0</v>
      </c>
      <c r="I886" s="104">
        <v>0.0</v>
      </c>
      <c r="J886" s="104">
        <v>0.0</v>
      </c>
      <c r="K886" s="110" t="s">
        <v>2212</v>
      </c>
      <c r="L886" s="110" t="s">
        <v>2213</v>
      </c>
    </row>
    <row r="887">
      <c r="A887" s="110" t="s">
        <v>1732</v>
      </c>
      <c r="B887" s="104">
        <v>0.0</v>
      </c>
      <c r="C887" s="110" t="s">
        <v>310</v>
      </c>
      <c r="D887" s="110" t="s">
        <v>217</v>
      </c>
      <c r="E887" s="104">
        <v>0.0</v>
      </c>
      <c r="F887" s="104">
        <v>94.0</v>
      </c>
      <c r="G887" s="104">
        <v>0.0</v>
      </c>
      <c r="H887" s="112">
        <v>45707.0</v>
      </c>
      <c r="I887" s="104">
        <v>0.0</v>
      </c>
      <c r="J887" s="104">
        <v>0.0</v>
      </c>
      <c r="K887" s="110" t="s">
        <v>2214</v>
      </c>
      <c r="L887" s="110" t="s">
        <v>2215</v>
      </c>
    </row>
    <row r="888">
      <c r="A888" s="110" t="s">
        <v>1734</v>
      </c>
      <c r="B888" s="110" t="s">
        <v>1734</v>
      </c>
      <c r="C888" s="110" t="s">
        <v>2216</v>
      </c>
      <c r="D888" s="110" t="s">
        <v>612</v>
      </c>
      <c r="E888" s="104">
        <v>0.0</v>
      </c>
      <c r="F888" s="104">
        <v>0.0</v>
      </c>
      <c r="G888" s="110" t="s">
        <v>2217</v>
      </c>
      <c r="H888" s="112">
        <v>44917.0</v>
      </c>
      <c r="I888" s="104">
        <v>0.0</v>
      </c>
      <c r="J888" s="104">
        <v>0.0</v>
      </c>
      <c r="K888" s="110" t="s">
        <v>2218</v>
      </c>
      <c r="L888" s="110" t="s">
        <v>2219</v>
      </c>
    </row>
    <row r="889">
      <c r="A889" s="110" t="s">
        <v>1736</v>
      </c>
      <c r="B889" s="110" t="s">
        <v>1736</v>
      </c>
      <c r="C889" s="110" t="s">
        <v>2216</v>
      </c>
      <c r="D889" s="110" t="s">
        <v>612</v>
      </c>
      <c r="E889" s="104">
        <v>0.0</v>
      </c>
      <c r="F889" s="104">
        <v>0.0</v>
      </c>
      <c r="G889" s="110" t="s">
        <v>2217</v>
      </c>
      <c r="H889" s="112">
        <v>44917.0</v>
      </c>
      <c r="I889" s="104">
        <v>0.0</v>
      </c>
      <c r="J889" s="104">
        <v>0.0</v>
      </c>
      <c r="K889" s="110" t="s">
        <v>2220</v>
      </c>
      <c r="L889" s="110" t="s">
        <v>2221</v>
      </c>
    </row>
    <row r="890">
      <c r="A890" s="110" t="s">
        <v>1738</v>
      </c>
      <c r="B890" s="104">
        <v>0.0</v>
      </c>
      <c r="C890" s="110" t="s">
        <v>348</v>
      </c>
      <c r="D890" s="110" t="s">
        <v>210</v>
      </c>
      <c r="E890" s="104">
        <v>0.0</v>
      </c>
      <c r="F890" s="104">
        <v>0.0</v>
      </c>
      <c r="G890" s="110" t="s">
        <v>206</v>
      </c>
      <c r="H890" s="112">
        <v>45881.0</v>
      </c>
      <c r="I890" s="110" t="s">
        <v>1738</v>
      </c>
      <c r="J890" s="104">
        <v>0.0</v>
      </c>
      <c r="K890" s="110" t="s">
        <v>2222</v>
      </c>
      <c r="L890" s="110" t="s">
        <v>2223</v>
      </c>
    </row>
    <row r="891">
      <c r="A891" s="110" t="s">
        <v>1740</v>
      </c>
      <c r="B891" s="104">
        <v>0.0</v>
      </c>
      <c r="C891" s="110" t="s">
        <v>562</v>
      </c>
      <c r="D891" s="110" t="s">
        <v>210</v>
      </c>
      <c r="E891" s="104">
        <v>0.0</v>
      </c>
      <c r="F891" s="104">
        <v>26.0</v>
      </c>
      <c r="G891" s="110" t="s">
        <v>238</v>
      </c>
      <c r="H891" s="112">
        <v>45881.0</v>
      </c>
      <c r="I891" s="110" t="s">
        <v>1740</v>
      </c>
      <c r="J891" s="104">
        <v>0.0</v>
      </c>
      <c r="K891" s="110" t="s">
        <v>2224</v>
      </c>
      <c r="L891" s="110" t="s">
        <v>2225</v>
      </c>
    </row>
    <row r="892">
      <c r="A892" s="110" t="s">
        <v>1742</v>
      </c>
      <c r="B892" s="104">
        <v>0.0</v>
      </c>
      <c r="C892" s="110" t="s">
        <v>2226</v>
      </c>
      <c r="D892" s="110" t="s">
        <v>210</v>
      </c>
      <c r="E892" s="104">
        <v>0.0</v>
      </c>
      <c r="F892" s="104">
        <v>29.0</v>
      </c>
      <c r="G892" s="110" t="s">
        <v>238</v>
      </c>
      <c r="H892" s="112">
        <v>45889.0</v>
      </c>
      <c r="I892" s="110" t="s">
        <v>2227</v>
      </c>
      <c r="J892" s="104">
        <v>0.0</v>
      </c>
      <c r="K892" s="110" t="s">
        <v>2228</v>
      </c>
      <c r="L892" s="110" t="s">
        <v>2229</v>
      </c>
    </row>
    <row r="893">
      <c r="A893" s="110" t="s">
        <v>1744</v>
      </c>
      <c r="B893" s="104">
        <v>0.0</v>
      </c>
      <c r="C893" s="110" t="s">
        <v>247</v>
      </c>
      <c r="D893" s="110" t="s">
        <v>210</v>
      </c>
      <c r="E893" s="104">
        <v>0.0</v>
      </c>
      <c r="F893" s="104">
        <v>66.8</v>
      </c>
      <c r="G893" s="110" t="s">
        <v>238</v>
      </c>
      <c r="H893" s="112">
        <v>45894.0</v>
      </c>
      <c r="I893" s="110" t="s">
        <v>1744</v>
      </c>
      <c r="J893" s="104">
        <v>0.0</v>
      </c>
      <c r="K893" s="110" t="s">
        <v>2230</v>
      </c>
      <c r="L893" s="110" t="s">
        <v>2231</v>
      </c>
    </row>
    <row r="894">
      <c r="A894" s="110" t="s">
        <v>1747</v>
      </c>
      <c r="B894" s="104">
        <v>0.0</v>
      </c>
      <c r="C894" s="110" t="s">
        <v>2232</v>
      </c>
      <c r="D894" s="110" t="s">
        <v>226</v>
      </c>
      <c r="E894" s="104">
        <v>0.0</v>
      </c>
      <c r="F894" s="104">
        <v>175.0</v>
      </c>
      <c r="G894" s="110" t="s">
        <v>211</v>
      </c>
      <c r="H894" s="112">
        <v>45985.0</v>
      </c>
      <c r="I894" s="110" t="s">
        <v>1747</v>
      </c>
      <c r="J894" s="104">
        <v>0.0</v>
      </c>
      <c r="K894" s="110" t="s">
        <v>2233</v>
      </c>
      <c r="L894" s="110" t="s">
        <v>2234</v>
      </c>
    </row>
    <row r="895">
      <c r="A895" s="110" t="s">
        <v>1747</v>
      </c>
      <c r="B895" s="104">
        <v>0.0</v>
      </c>
      <c r="C895" s="110" t="s">
        <v>2232</v>
      </c>
      <c r="D895" s="110" t="s">
        <v>226</v>
      </c>
      <c r="E895" s="104">
        <v>0.0</v>
      </c>
      <c r="F895" s="104">
        <v>175.0</v>
      </c>
      <c r="G895" s="110" t="s">
        <v>2235</v>
      </c>
      <c r="H895" s="112">
        <v>45985.0</v>
      </c>
      <c r="I895" s="110" t="s">
        <v>1747</v>
      </c>
      <c r="J895" s="104">
        <v>0.0</v>
      </c>
      <c r="K895" s="110" t="s">
        <v>2233</v>
      </c>
      <c r="L895" s="110" t="s">
        <v>2236</v>
      </c>
    </row>
    <row r="896">
      <c r="A896" s="110" t="s">
        <v>1747</v>
      </c>
      <c r="B896" s="104">
        <v>0.0</v>
      </c>
      <c r="C896" s="110" t="s">
        <v>2232</v>
      </c>
      <c r="D896" s="110" t="s">
        <v>226</v>
      </c>
      <c r="E896" s="104">
        <v>0.0</v>
      </c>
      <c r="F896" s="104">
        <v>160.0</v>
      </c>
      <c r="G896" s="110" t="s">
        <v>2237</v>
      </c>
      <c r="H896" s="112">
        <v>45985.0</v>
      </c>
      <c r="I896" s="110" t="s">
        <v>1747</v>
      </c>
      <c r="J896" s="104">
        <v>0.0</v>
      </c>
      <c r="K896" s="110" t="s">
        <v>2233</v>
      </c>
      <c r="L896" s="110" t="s">
        <v>2238</v>
      </c>
    </row>
    <row r="897">
      <c r="A897" s="110" t="s">
        <v>1747</v>
      </c>
      <c r="B897" s="104">
        <v>0.0</v>
      </c>
      <c r="C897" s="110" t="s">
        <v>2232</v>
      </c>
      <c r="D897" s="110" t="s">
        <v>226</v>
      </c>
      <c r="E897" s="104">
        <v>0.0</v>
      </c>
      <c r="F897" s="104">
        <v>150.0</v>
      </c>
      <c r="G897" s="110" t="s">
        <v>2239</v>
      </c>
      <c r="H897" s="112">
        <v>45985.0</v>
      </c>
      <c r="I897" s="110" t="s">
        <v>1747</v>
      </c>
      <c r="J897" s="104">
        <v>0.0</v>
      </c>
      <c r="K897" s="110" t="s">
        <v>2233</v>
      </c>
      <c r="L897" s="110" t="s">
        <v>2240</v>
      </c>
    </row>
    <row r="898">
      <c r="A898" s="110" t="s">
        <v>1749</v>
      </c>
      <c r="B898" s="110" t="s">
        <v>1749</v>
      </c>
      <c r="C898" s="110" t="s">
        <v>2241</v>
      </c>
      <c r="D898" s="110" t="s">
        <v>2242</v>
      </c>
      <c r="E898" s="104">
        <v>0.0</v>
      </c>
      <c r="F898" s="104">
        <v>7.0</v>
      </c>
      <c r="G898" s="110" t="s">
        <v>2243</v>
      </c>
      <c r="H898" s="112">
        <v>45841.0</v>
      </c>
      <c r="I898" s="110" t="s">
        <v>2244</v>
      </c>
      <c r="J898" s="104">
        <v>0.0</v>
      </c>
      <c r="K898" s="110" t="s">
        <v>2245</v>
      </c>
      <c r="L898" s="110" t="s">
        <v>2246</v>
      </c>
    </row>
    <row r="899">
      <c r="A899" s="110" t="s">
        <v>1751</v>
      </c>
      <c r="B899" s="104">
        <v>0.0</v>
      </c>
      <c r="C899" s="110" t="s">
        <v>247</v>
      </c>
      <c r="D899" s="110" t="s">
        <v>210</v>
      </c>
      <c r="E899" s="104">
        <v>0.0</v>
      </c>
      <c r="F899" s="104">
        <v>0.0</v>
      </c>
      <c r="G899" s="104">
        <v>0.0</v>
      </c>
      <c r="H899" s="104" t="s">
        <v>232</v>
      </c>
      <c r="I899" s="104">
        <v>0.0</v>
      </c>
      <c r="J899" s="104">
        <v>0.0</v>
      </c>
      <c r="K899" s="110" t="s">
        <v>2247</v>
      </c>
      <c r="L899" s="110" t="s">
        <v>2248</v>
      </c>
    </row>
    <row r="900">
      <c r="A900" s="110" t="s">
        <v>1753</v>
      </c>
      <c r="B900" s="104">
        <v>0.0</v>
      </c>
      <c r="C900" s="110" t="s">
        <v>204</v>
      </c>
      <c r="D900" s="110" t="s">
        <v>201</v>
      </c>
      <c r="E900" s="104">
        <v>0.0</v>
      </c>
      <c r="F900" s="104">
        <v>0.0</v>
      </c>
      <c r="G900" s="104">
        <v>0.0</v>
      </c>
      <c r="H900" s="112">
        <v>45925.0</v>
      </c>
      <c r="I900" s="110" t="s">
        <v>1753</v>
      </c>
      <c r="J900" s="104">
        <v>0.0</v>
      </c>
      <c r="K900" s="110" t="s">
        <v>2249</v>
      </c>
      <c r="L900" s="110" t="s">
        <v>2250</v>
      </c>
    </row>
    <row r="901">
      <c r="A901" s="110" t="s">
        <v>1755</v>
      </c>
      <c r="B901" s="104">
        <v>0.0</v>
      </c>
      <c r="C901" s="110" t="s">
        <v>204</v>
      </c>
      <c r="D901" s="110" t="s">
        <v>201</v>
      </c>
      <c r="E901" s="104">
        <v>0.0</v>
      </c>
      <c r="F901" s="104">
        <v>0.0</v>
      </c>
      <c r="G901" s="104">
        <v>0.0</v>
      </c>
      <c r="H901" s="112">
        <v>45925.0</v>
      </c>
      <c r="I901" s="110" t="s">
        <v>1755</v>
      </c>
      <c r="J901" s="104">
        <v>0.0</v>
      </c>
      <c r="K901" s="110" t="s">
        <v>2251</v>
      </c>
      <c r="L901" s="110" t="s">
        <v>2252</v>
      </c>
    </row>
    <row r="902">
      <c r="A902" s="110" t="s">
        <v>1757</v>
      </c>
      <c r="B902" s="104">
        <v>0.0</v>
      </c>
      <c r="C902" s="110" t="s">
        <v>204</v>
      </c>
      <c r="D902" s="110" t="s">
        <v>201</v>
      </c>
      <c r="E902" s="104">
        <v>0.0</v>
      </c>
      <c r="F902" s="104">
        <v>0.0</v>
      </c>
      <c r="G902" s="104">
        <v>0.0</v>
      </c>
      <c r="H902" s="112">
        <v>45925.0</v>
      </c>
      <c r="I902" s="110" t="s">
        <v>1757</v>
      </c>
      <c r="J902" s="104">
        <v>0.0</v>
      </c>
      <c r="K902" s="110" t="s">
        <v>2253</v>
      </c>
      <c r="L902" s="110" t="s">
        <v>2254</v>
      </c>
    </row>
    <row r="903">
      <c r="A903" s="110" t="s">
        <v>1760</v>
      </c>
      <c r="B903" s="104">
        <v>0.0</v>
      </c>
      <c r="C903" s="110" t="s">
        <v>317</v>
      </c>
      <c r="D903" s="110" t="s">
        <v>210</v>
      </c>
      <c r="E903" s="104">
        <v>0.0</v>
      </c>
      <c r="F903" s="104">
        <v>13.0</v>
      </c>
      <c r="G903" s="104">
        <v>0.0</v>
      </c>
      <c r="H903" s="112">
        <v>45874.0</v>
      </c>
      <c r="I903" s="104">
        <v>0.0</v>
      </c>
      <c r="J903" s="104">
        <v>0.0</v>
      </c>
      <c r="K903" s="110" t="s">
        <v>2255</v>
      </c>
      <c r="L903" s="110" t="s">
        <v>2256</v>
      </c>
    </row>
    <row r="904">
      <c r="A904" s="110" t="s">
        <v>1762</v>
      </c>
      <c r="B904" s="104">
        <v>0.0</v>
      </c>
      <c r="C904" s="110" t="s">
        <v>317</v>
      </c>
      <c r="D904" s="110" t="s">
        <v>210</v>
      </c>
      <c r="E904" s="104">
        <v>0.0</v>
      </c>
      <c r="F904" s="104">
        <v>30.0</v>
      </c>
      <c r="G904" s="104">
        <v>0.0</v>
      </c>
      <c r="H904" s="112">
        <v>45874.0</v>
      </c>
      <c r="I904" s="104">
        <v>0.0</v>
      </c>
      <c r="J904" s="104">
        <v>0.0</v>
      </c>
      <c r="K904" s="110" t="s">
        <v>2257</v>
      </c>
      <c r="L904" s="110" t="s">
        <v>2258</v>
      </c>
    </row>
    <row r="905">
      <c r="A905" s="110" t="s">
        <v>1764</v>
      </c>
      <c r="B905" s="110" t="s">
        <v>2259</v>
      </c>
      <c r="C905" s="110" t="s">
        <v>657</v>
      </c>
      <c r="D905" s="110" t="s">
        <v>217</v>
      </c>
      <c r="E905" s="104">
        <v>0.0</v>
      </c>
      <c r="F905" s="104">
        <v>21.0</v>
      </c>
      <c r="G905" s="110" t="s">
        <v>218</v>
      </c>
      <c r="H905" s="112">
        <v>45825.0</v>
      </c>
      <c r="I905" s="110" t="s">
        <v>2259</v>
      </c>
      <c r="J905" s="104">
        <v>0.0</v>
      </c>
      <c r="K905" s="110" t="s">
        <v>2260</v>
      </c>
      <c r="L905" s="110" t="s">
        <v>2261</v>
      </c>
    </row>
    <row r="906">
      <c r="A906" s="110" t="s">
        <v>1766</v>
      </c>
      <c r="B906" s="110" t="s">
        <v>2259</v>
      </c>
      <c r="C906" s="110" t="s">
        <v>261</v>
      </c>
      <c r="D906" s="110" t="s">
        <v>217</v>
      </c>
      <c r="E906" s="104">
        <v>0.0</v>
      </c>
      <c r="F906" s="104">
        <v>21.0</v>
      </c>
      <c r="G906" s="110" t="s">
        <v>218</v>
      </c>
      <c r="H906" s="112">
        <v>45826.0</v>
      </c>
      <c r="I906" s="110" t="s">
        <v>2259</v>
      </c>
      <c r="J906" s="104">
        <v>0.0</v>
      </c>
      <c r="K906" s="110" t="s">
        <v>2262</v>
      </c>
      <c r="L906" s="110" t="s">
        <v>2263</v>
      </c>
    </row>
    <row r="907">
      <c r="A907" s="110" t="s">
        <v>1766</v>
      </c>
      <c r="B907" s="110" t="s">
        <v>2259</v>
      </c>
      <c r="C907" s="110" t="s">
        <v>261</v>
      </c>
      <c r="D907" s="110" t="s">
        <v>217</v>
      </c>
      <c r="E907" s="104">
        <v>0.0</v>
      </c>
      <c r="F907" s="104">
        <v>17.55</v>
      </c>
      <c r="G907" s="110" t="s">
        <v>2264</v>
      </c>
      <c r="H907" s="112">
        <v>45826.0</v>
      </c>
      <c r="I907" s="110" t="s">
        <v>2259</v>
      </c>
      <c r="J907" s="104">
        <v>0.0</v>
      </c>
      <c r="K907" s="110" t="s">
        <v>2262</v>
      </c>
      <c r="L907" s="110" t="s">
        <v>2265</v>
      </c>
    </row>
    <row r="908">
      <c r="A908" s="110" t="s">
        <v>1766</v>
      </c>
      <c r="B908" s="110" t="s">
        <v>2259</v>
      </c>
      <c r="C908" s="110" t="s">
        <v>261</v>
      </c>
      <c r="D908" s="110" t="s">
        <v>217</v>
      </c>
      <c r="E908" s="104">
        <v>0.0</v>
      </c>
      <c r="F908" s="104">
        <v>15.8</v>
      </c>
      <c r="G908" s="110" t="s">
        <v>2266</v>
      </c>
      <c r="H908" s="112">
        <v>45826.0</v>
      </c>
      <c r="I908" s="110" t="s">
        <v>2259</v>
      </c>
      <c r="J908" s="104">
        <v>0.0</v>
      </c>
      <c r="K908" s="110" t="s">
        <v>2262</v>
      </c>
      <c r="L908" s="110" t="s">
        <v>2267</v>
      </c>
    </row>
    <row r="909">
      <c r="A909" s="110" t="s">
        <v>1768</v>
      </c>
      <c r="B909" s="104">
        <v>0.0</v>
      </c>
      <c r="C909" s="110" t="s">
        <v>551</v>
      </c>
      <c r="D909" s="110" t="s">
        <v>552</v>
      </c>
      <c r="E909" s="104">
        <v>0.0</v>
      </c>
      <c r="F909" s="104">
        <v>36.61</v>
      </c>
      <c r="G909" s="110" t="s">
        <v>238</v>
      </c>
      <c r="H909" s="112">
        <v>45713.0</v>
      </c>
      <c r="I909" s="104">
        <v>0.0</v>
      </c>
      <c r="J909" s="104">
        <v>0.0</v>
      </c>
      <c r="K909" s="110" t="s">
        <v>2268</v>
      </c>
      <c r="L909" s="110" t="s">
        <v>2269</v>
      </c>
    </row>
    <row r="910">
      <c r="A910" s="110" t="s">
        <v>1770</v>
      </c>
      <c r="B910" s="104">
        <v>0.0</v>
      </c>
      <c r="C910" s="110" t="s">
        <v>551</v>
      </c>
      <c r="D910" s="110" t="s">
        <v>552</v>
      </c>
      <c r="E910" s="104">
        <v>0.0</v>
      </c>
      <c r="F910" s="104">
        <v>43.44</v>
      </c>
      <c r="G910" s="110" t="s">
        <v>238</v>
      </c>
      <c r="H910" s="112">
        <v>45720.0</v>
      </c>
      <c r="I910" s="104">
        <v>0.0</v>
      </c>
      <c r="J910" s="104">
        <v>0.0</v>
      </c>
      <c r="K910" s="110" t="s">
        <v>2270</v>
      </c>
      <c r="L910" s="110" t="s">
        <v>2271</v>
      </c>
    </row>
    <row r="911">
      <c r="A911" s="110" t="s">
        <v>1772</v>
      </c>
      <c r="B911" s="104">
        <v>0.0</v>
      </c>
      <c r="C911" s="110" t="s">
        <v>2272</v>
      </c>
      <c r="D911" s="110" t="s">
        <v>544</v>
      </c>
      <c r="E911" s="104">
        <v>0.0</v>
      </c>
      <c r="F911" s="104">
        <v>56.22</v>
      </c>
      <c r="G911" s="110" t="s">
        <v>262</v>
      </c>
      <c r="H911" s="112">
        <v>45911.0</v>
      </c>
      <c r="I911" s="110" t="s">
        <v>1772</v>
      </c>
      <c r="J911" s="104">
        <v>0.0</v>
      </c>
      <c r="K911" s="110" t="s">
        <v>2273</v>
      </c>
      <c r="L911" s="110" t="s">
        <v>2274</v>
      </c>
    </row>
    <row r="912">
      <c r="A912" s="110" t="s">
        <v>1772</v>
      </c>
      <c r="B912" s="104">
        <v>0.0</v>
      </c>
      <c r="C912" s="110" t="s">
        <v>2272</v>
      </c>
      <c r="D912" s="110" t="s">
        <v>544</v>
      </c>
      <c r="E912" s="104">
        <v>0.0</v>
      </c>
      <c r="F912" s="104">
        <v>46.22</v>
      </c>
      <c r="G912" s="110" t="s">
        <v>413</v>
      </c>
      <c r="H912" s="112">
        <v>45911.0</v>
      </c>
      <c r="I912" s="110" t="s">
        <v>1772</v>
      </c>
      <c r="J912" s="104">
        <v>0.0</v>
      </c>
      <c r="K912" s="110" t="s">
        <v>2273</v>
      </c>
      <c r="L912" s="110" t="s">
        <v>2275</v>
      </c>
    </row>
    <row r="913">
      <c r="A913" s="110" t="s">
        <v>1774</v>
      </c>
      <c r="B913" s="110" t="s">
        <v>2276</v>
      </c>
      <c r="C913" s="110" t="s">
        <v>325</v>
      </c>
      <c r="D913" s="110" t="s">
        <v>210</v>
      </c>
      <c r="E913" s="104">
        <v>0.0</v>
      </c>
      <c r="F913" s="104">
        <v>55.88</v>
      </c>
      <c r="G913" s="110" t="s">
        <v>218</v>
      </c>
      <c r="H913" s="112">
        <v>45783.0</v>
      </c>
      <c r="I913" s="104">
        <v>0.0</v>
      </c>
      <c r="J913" s="104">
        <v>0.0</v>
      </c>
      <c r="K913" s="110" t="s">
        <v>2277</v>
      </c>
      <c r="L913" s="110" t="s">
        <v>2278</v>
      </c>
    </row>
    <row r="914">
      <c r="A914" s="110" t="s">
        <v>1776</v>
      </c>
      <c r="B914" s="104">
        <v>0.0</v>
      </c>
      <c r="C914" s="110" t="s">
        <v>551</v>
      </c>
      <c r="D914" s="110" t="s">
        <v>544</v>
      </c>
      <c r="E914" s="104">
        <v>0.0</v>
      </c>
      <c r="F914" s="104">
        <v>30.43</v>
      </c>
      <c r="G914" s="110" t="s">
        <v>206</v>
      </c>
      <c r="H914" s="112">
        <v>45887.0</v>
      </c>
      <c r="I914" s="110" t="s">
        <v>1776</v>
      </c>
      <c r="J914" s="104">
        <v>0.0</v>
      </c>
      <c r="K914" s="110" t="s">
        <v>2279</v>
      </c>
      <c r="L914" s="110" t="s">
        <v>2280</v>
      </c>
    </row>
    <row r="915">
      <c r="A915" s="110" t="s">
        <v>1778</v>
      </c>
      <c r="B915" s="104">
        <v>0.0</v>
      </c>
      <c r="C915" s="110" t="s">
        <v>551</v>
      </c>
      <c r="D915" s="110" t="s">
        <v>544</v>
      </c>
      <c r="E915" s="104">
        <v>0.0</v>
      </c>
      <c r="F915" s="104">
        <v>25.35</v>
      </c>
      <c r="G915" s="110" t="s">
        <v>206</v>
      </c>
      <c r="H915" s="112">
        <v>45887.0</v>
      </c>
      <c r="I915" s="110" t="s">
        <v>1778</v>
      </c>
      <c r="J915" s="104">
        <v>0.0</v>
      </c>
      <c r="K915" s="110" t="s">
        <v>2281</v>
      </c>
      <c r="L915" s="110" t="s">
        <v>2282</v>
      </c>
    </row>
    <row r="916">
      <c r="A916" s="110" t="s">
        <v>1781</v>
      </c>
      <c r="B916" s="104">
        <v>0.0</v>
      </c>
      <c r="C916" s="110" t="s">
        <v>551</v>
      </c>
      <c r="D916" s="110" t="s">
        <v>552</v>
      </c>
      <c r="E916" s="104">
        <v>0.0</v>
      </c>
      <c r="F916" s="104">
        <v>27.57</v>
      </c>
      <c r="G916" s="110" t="s">
        <v>238</v>
      </c>
      <c r="H916" s="112">
        <v>45736.0</v>
      </c>
      <c r="I916" s="104">
        <v>0.0</v>
      </c>
      <c r="J916" s="104">
        <v>0.0</v>
      </c>
      <c r="K916" s="110" t="s">
        <v>2283</v>
      </c>
      <c r="L916" s="110" t="s">
        <v>2284</v>
      </c>
    </row>
    <row r="917">
      <c r="A917" s="110" t="s">
        <v>1783</v>
      </c>
      <c r="B917" s="104">
        <v>0.0</v>
      </c>
      <c r="C917" s="110" t="s">
        <v>551</v>
      </c>
      <c r="D917" s="110" t="s">
        <v>544</v>
      </c>
      <c r="E917" s="104">
        <v>0.0</v>
      </c>
      <c r="F917" s="104">
        <v>30.65</v>
      </c>
      <c r="G917" s="110" t="s">
        <v>206</v>
      </c>
      <c r="H917" s="112">
        <v>45887.0</v>
      </c>
      <c r="I917" s="110" t="s">
        <v>1783</v>
      </c>
      <c r="J917" s="104">
        <v>0.0</v>
      </c>
      <c r="K917" s="110" t="s">
        <v>2285</v>
      </c>
      <c r="L917" s="110" t="s">
        <v>2286</v>
      </c>
    </row>
    <row r="918">
      <c r="A918" s="110" t="s">
        <v>1785</v>
      </c>
      <c r="B918" s="104">
        <v>0.0</v>
      </c>
      <c r="C918" s="110" t="s">
        <v>551</v>
      </c>
      <c r="D918" s="110" t="s">
        <v>552</v>
      </c>
      <c r="E918" s="104">
        <v>0.0</v>
      </c>
      <c r="F918" s="104">
        <v>29.97</v>
      </c>
      <c r="G918" s="110" t="s">
        <v>238</v>
      </c>
      <c r="H918" s="112">
        <v>45883.0</v>
      </c>
      <c r="I918" s="110" t="s">
        <v>1785</v>
      </c>
      <c r="J918" s="104">
        <v>0.0</v>
      </c>
      <c r="K918" s="110" t="s">
        <v>2287</v>
      </c>
      <c r="L918" s="110" t="s">
        <v>2288</v>
      </c>
    </row>
    <row r="919">
      <c r="A919" s="110" t="s">
        <v>1787</v>
      </c>
      <c r="B919" s="104">
        <v>0.0</v>
      </c>
      <c r="C919" s="110" t="s">
        <v>417</v>
      </c>
      <c r="D919" s="110" t="s">
        <v>201</v>
      </c>
      <c r="E919" s="104">
        <v>0.0</v>
      </c>
      <c r="F919" s="104">
        <v>52.91</v>
      </c>
      <c r="G919" s="110" t="s">
        <v>206</v>
      </c>
      <c r="H919" s="112">
        <v>45897.0</v>
      </c>
      <c r="I919" s="104">
        <v>0.0</v>
      </c>
      <c r="J919" s="104">
        <v>0.0</v>
      </c>
      <c r="K919" s="110" t="s">
        <v>2289</v>
      </c>
      <c r="L919" s="110" t="s">
        <v>2290</v>
      </c>
    </row>
    <row r="920">
      <c r="A920" s="110" t="s">
        <v>1789</v>
      </c>
      <c r="B920" s="104">
        <v>0.0</v>
      </c>
      <c r="C920" s="110" t="s">
        <v>331</v>
      </c>
      <c r="D920" s="110" t="s">
        <v>210</v>
      </c>
      <c r="E920" s="104">
        <v>0.0</v>
      </c>
      <c r="F920" s="104">
        <v>11.0</v>
      </c>
      <c r="G920" s="110" t="s">
        <v>218</v>
      </c>
      <c r="H920" s="112">
        <v>45985.0</v>
      </c>
      <c r="I920" s="110" t="s">
        <v>2291</v>
      </c>
      <c r="J920" s="104">
        <v>0.0</v>
      </c>
      <c r="K920" s="110" t="s">
        <v>2292</v>
      </c>
      <c r="L920" s="110" t="s">
        <v>2293</v>
      </c>
    </row>
    <row r="921">
      <c r="A921" s="110" t="s">
        <v>1791</v>
      </c>
      <c r="B921" s="104">
        <v>0.0</v>
      </c>
      <c r="C921" s="110" t="s">
        <v>562</v>
      </c>
      <c r="D921" s="110" t="s">
        <v>210</v>
      </c>
      <c r="E921" s="104">
        <v>0.0</v>
      </c>
      <c r="F921" s="104">
        <v>25.0</v>
      </c>
      <c r="G921" s="110" t="s">
        <v>238</v>
      </c>
      <c r="H921" s="112">
        <v>45930.0</v>
      </c>
      <c r="I921" s="110" t="s">
        <v>1791</v>
      </c>
      <c r="J921" s="104">
        <v>0.0</v>
      </c>
      <c r="K921" s="110" t="s">
        <v>2294</v>
      </c>
      <c r="L921" s="110" t="s">
        <v>2295</v>
      </c>
    </row>
    <row r="922">
      <c r="A922" s="110" t="s">
        <v>1793</v>
      </c>
      <c r="B922" s="104">
        <v>0.0</v>
      </c>
      <c r="C922" s="110" t="s">
        <v>551</v>
      </c>
      <c r="D922" s="110" t="s">
        <v>226</v>
      </c>
      <c r="E922" s="104">
        <v>0.0</v>
      </c>
      <c r="F922" s="104">
        <v>27.57</v>
      </c>
      <c r="G922" s="110" t="s">
        <v>2097</v>
      </c>
      <c r="H922" s="112">
        <v>45971.0</v>
      </c>
      <c r="I922" s="104">
        <v>0.0</v>
      </c>
      <c r="J922" s="104">
        <v>0.0</v>
      </c>
      <c r="K922" s="110" t="s">
        <v>2296</v>
      </c>
      <c r="L922" s="110" t="s">
        <v>2297</v>
      </c>
    </row>
    <row r="923">
      <c r="A923" s="110" t="s">
        <v>1795</v>
      </c>
      <c r="B923" s="104">
        <v>0.0</v>
      </c>
      <c r="C923" s="110" t="s">
        <v>2143</v>
      </c>
      <c r="D923" s="110" t="s">
        <v>544</v>
      </c>
      <c r="E923" s="104">
        <v>0.0</v>
      </c>
      <c r="F923" s="104">
        <v>49.49</v>
      </c>
      <c r="G923" s="110" t="s">
        <v>2144</v>
      </c>
      <c r="H923" s="112">
        <v>45967.0</v>
      </c>
      <c r="I923" s="110" t="s">
        <v>1795</v>
      </c>
      <c r="J923" s="104">
        <v>0.0</v>
      </c>
      <c r="K923" s="110" t="s">
        <v>2298</v>
      </c>
      <c r="L923" s="110" t="s">
        <v>2299</v>
      </c>
    </row>
    <row r="924">
      <c r="A924" s="110" t="s">
        <v>1797</v>
      </c>
      <c r="B924" s="104">
        <v>0.0</v>
      </c>
      <c r="C924" s="110" t="s">
        <v>2300</v>
      </c>
      <c r="D924" s="110" t="s">
        <v>226</v>
      </c>
      <c r="E924" s="104">
        <v>0.0</v>
      </c>
      <c r="F924" s="104">
        <v>7.38</v>
      </c>
      <c r="G924" s="110" t="s">
        <v>238</v>
      </c>
      <c r="H924" s="112">
        <v>45806.0</v>
      </c>
      <c r="I924" s="104">
        <v>0.0</v>
      </c>
      <c r="J924" s="104">
        <v>0.0</v>
      </c>
      <c r="K924" s="110" t="s">
        <v>2301</v>
      </c>
      <c r="L924" s="110" t="s">
        <v>2302</v>
      </c>
    </row>
    <row r="925">
      <c r="A925" s="110" t="s">
        <v>1797</v>
      </c>
      <c r="B925" s="104">
        <v>0.0</v>
      </c>
      <c r="C925" s="110" t="s">
        <v>879</v>
      </c>
      <c r="D925" s="110" t="s">
        <v>226</v>
      </c>
      <c r="E925" s="104">
        <v>0.0</v>
      </c>
      <c r="F925" s="104">
        <v>15.1</v>
      </c>
      <c r="G925" s="110" t="s">
        <v>557</v>
      </c>
      <c r="H925" s="112">
        <v>45807.0</v>
      </c>
      <c r="I925" s="110" t="s">
        <v>1266</v>
      </c>
      <c r="J925" s="104">
        <v>0.0</v>
      </c>
      <c r="K925" s="110" t="s">
        <v>2303</v>
      </c>
      <c r="L925" s="110" t="s">
        <v>2304</v>
      </c>
    </row>
    <row r="926">
      <c r="A926" s="110" t="s">
        <v>1799</v>
      </c>
      <c r="B926" s="104">
        <v>0.0</v>
      </c>
      <c r="C926" s="110" t="s">
        <v>204</v>
      </c>
      <c r="D926" s="110" t="s">
        <v>205</v>
      </c>
      <c r="E926" s="104">
        <v>0.0</v>
      </c>
      <c r="F926" s="104">
        <v>14.99</v>
      </c>
      <c r="G926" s="110" t="s">
        <v>206</v>
      </c>
      <c r="H926" s="112">
        <v>45925.0</v>
      </c>
      <c r="I926" s="110" t="s">
        <v>2305</v>
      </c>
      <c r="J926" s="104">
        <v>0.0</v>
      </c>
      <c r="K926" s="110" t="s">
        <v>2306</v>
      </c>
      <c r="L926" s="110" t="s">
        <v>2307</v>
      </c>
    </row>
    <row r="927">
      <c r="A927" s="110" t="s">
        <v>1801</v>
      </c>
      <c r="B927" s="104">
        <v>0.0</v>
      </c>
      <c r="C927" s="110" t="s">
        <v>562</v>
      </c>
      <c r="D927" s="110" t="s">
        <v>205</v>
      </c>
      <c r="E927" s="104">
        <v>0.0</v>
      </c>
      <c r="F927" s="104">
        <v>19.6</v>
      </c>
      <c r="G927" s="110" t="s">
        <v>2308</v>
      </c>
      <c r="H927" s="112">
        <v>45930.0</v>
      </c>
      <c r="I927" s="110" t="s">
        <v>1801</v>
      </c>
      <c r="J927" s="104">
        <v>0.0</v>
      </c>
      <c r="K927" s="110" t="s">
        <v>2309</v>
      </c>
      <c r="L927" s="110" t="s">
        <v>2310</v>
      </c>
    </row>
    <row r="928">
      <c r="A928" s="110" t="s">
        <v>1803</v>
      </c>
      <c r="B928" s="104">
        <v>0.0</v>
      </c>
      <c r="C928" s="110" t="s">
        <v>331</v>
      </c>
      <c r="D928" s="110" t="s">
        <v>205</v>
      </c>
      <c r="E928" s="104">
        <v>0.0</v>
      </c>
      <c r="F928" s="104">
        <v>19.0</v>
      </c>
      <c r="G928" s="110" t="s">
        <v>540</v>
      </c>
      <c r="H928" s="112">
        <v>45930.0</v>
      </c>
      <c r="I928" s="110" t="s">
        <v>1803</v>
      </c>
      <c r="J928" s="104">
        <v>0.0</v>
      </c>
      <c r="K928" s="110" t="s">
        <v>2311</v>
      </c>
      <c r="L928" s="110" t="s">
        <v>2312</v>
      </c>
    </row>
    <row r="929">
      <c r="A929" s="110" t="s">
        <v>1805</v>
      </c>
      <c r="B929" s="104">
        <v>0.0</v>
      </c>
      <c r="C929" s="110" t="s">
        <v>204</v>
      </c>
      <c r="D929" s="110" t="s">
        <v>205</v>
      </c>
      <c r="E929" s="104">
        <v>0.0</v>
      </c>
      <c r="F929" s="104">
        <v>0.0</v>
      </c>
      <c r="G929" s="104">
        <v>0.0</v>
      </c>
      <c r="H929" s="112">
        <v>45925.0</v>
      </c>
      <c r="I929" s="110" t="s">
        <v>1805</v>
      </c>
      <c r="J929" s="104">
        <v>0.0</v>
      </c>
      <c r="K929" s="110" t="s">
        <v>2313</v>
      </c>
      <c r="L929" s="110" t="s">
        <v>2314</v>
      </c>
    </row>
    <row r="930">
      <c r="A930" s="110" t="s">
        <v>1807</v>
      </c>
      <c r="B930" s="104">
        <v>0.0</v>
      </c>
      <c r="C930" s="110" t="s">
        <v>204</v>
      </c>
      <c r="D930" s="110" t="s">
        <v>205</v>
      </c>
      <c r="E930" s="104">
        <v>0.0</v>
      </c>
      <c r="F930" s="104">
        <v>0.0</v>
      </c>
      <c r="G930" s="104">
        <v>0.0</v>
      </c>
      <c r="H930" s="112">
        <v>45925.0</v>
      </c>
      <c r="I930" s="110" t="s">
        <v>1807</v>
      </c>
      <c r="J930" s="104">
        <v>0.0</v>
      </c>
      <c r="K930" s="110" t="s">
        <v>2315</v>
      </c>
      <c r="L930" s="110" t="s">
        <v>2316</v>
      </c>
    </row>
    <row r="931">
      <c r="A931" s="110" t="s">
        <v>1809</v>
      </c>
      <c r="B931" s="104">
        <v>0.0</v>
      </c>
      <c r="C931" s="110" t="s">
        <v>2317</v>
      </c>
      <c r="D931" s="110" t="s">
        <v>226</v>
      </c>
      <c r="E931" s="104">
        <v>0.0</v>
      </c>
      <c r="F931" s="104">
        <v>4.52</v>
      </c>
      <c r="G931" s="110" t="s">
        <v>2318</v>
      </c>
      <c r="H931" s="112">
        <v>45889.0</v>
      </c>
      <c r="I931" s="110" t="s">
        <v>1809</v>
      </c>
      <c r="J931" s="104">
        <v>0.0</v>
      </c>
      <c r="K931" s="110" t="s">
        <v>2319</v>
      </c>
      <c r="L931" s="110" t="s">
        <v>2320</v>
      </c>
    </row>
    <row r="932">
      <c r="A932" s="110" t="s">
        <v>1811</v>
      </c>
      <c r="B932" s="104">
        <v>0.0</v>
      </c>
      <c r="C932" s="110" t="s">
        <v>204</v>
      </c>
      <c r="D932" s="110" t="s">
        <v>210</v>
      </c>
      <c r="E932" s="104">
        <v>0.0</v>
      </c>
      <c r="F932" s="104">
        <v>6.5</v>
      </c>
      <c r="G932" s="110" t="s">
        <v>238</v>
      </c>
      <c r="H932" s="112">
        <v>45834.0</v>
      </c>
      <c r="I932" s="104">
        <v>0.0</v>
      </c>
      <c r="J932" s="104">
        <v>0.0</v>
      </c>
      <c r="K932" s="110" t="s">
        <v>2321</v>
      </c>
      <c r="L932" s="110" t="s">
        <v>2322</v>
      </c>
    </row>
    <row r="933">
      <c r="A933" s="110" t="s">
        <v>1811</v>
      </c>
      <c r="B933" s="104">
        <v>0.0</v>
      </c>
      <c r="C933" s="110" t="s">
        <v>204</v>
      </c>
      <c r="D933" s="110" t="s">
        <v>210</v>
      </c>
      <c r="E933" s="104">
        <v>0.0</v>
      </c>
      <c r="F933" s="104">
        <v>5.15</v>
      </c>
      <c r="G933" s="110" t="s">
        <v>446</v>
      </c>
      <c r="H933" s="112">
        <v>45834.0</v>
      </c>
      <c r="I933" s="104">
        <v>0.0</v>
      </c>
      <c r="J933" s="104">
        <v>0.0</v>
      </c>
      <c r="K933" s="110" t="s">
        <v>2321</v>
      </c>
      <c r="L933" s="110" t="s">
        <v>2323</v>
      </c>
    </row>
    <row r="934">
      <c r="A934" s="110" t="s">
        <v>1815</v>
      </c>
      <c r="B934" s="104">
        <v>0.0</v>
      </c>
      <c r="C934" s="110" t="s">
        <v>204</v>
      </c>
      <c r="D934" s="110" t="s">
        <v>226</v>
      </c>
      <c r="E934" s="104">
        <v>0.0</v>
      </c>
      <c r="F934" s="104">
        <v>5.99</v>
      </c>
      <c r="G934" s="110" t="s">
        <v>238</v>
      </c>
      <c r="H934" s="112">
        <v>45889.0</v>
      </c>
      <c r="I934" s="110" t="s">
        <v>2324</v>
      </c>
      <c r="J934" s="104">
        <v>0.0</v>
      </c>
      <c r="K934" s="110" t="s">
        <v>2325</v>
      </c>
      <c r="L934" s="110" t="s">
        <v>2326</v>
      </c>
    </row>
    <row r="935">
      <c r="A935" s="110" t="s">
        <v>1815</v>
      </c>
      <c r="B935" s="104">
        <v>0.0</v>
      </c>
      <c r="C935" s="110" t="s">
        <v>204</v>
      </c>
      <c r="D935" s="110" t="s">
        <v>226</v>
      </c>
      <c r="E935" s="104">
        <v>0.0</v>
      </c>
      <c r="F935" s="104">
        <v>4.75</v>
      </c>
      <c r="G935" s="110" t="s">
        <v>446</v>
      </c>
      <c r="H935" s="112">
        <v>45889.0</v>
      </c>
      <c r="I935" s="110" t="s">
        <v>2324</v>
      </c>
      <c r="J935" s="104">
        <v>0.0</v>
      </c>
      <c r="K935" s="110" t="s">
        <v>2325</v>
      </c>
      <c r="L935" s="110" t="s">
        <v>2327</v>
      </c>
    </row>
    <row r="936">
      <c r="A936" s="110" t="s">
        <v>1817</v>
      </c>
      <c r="B936" s="104">
        <v>0.0</v>
      </c>
      <c r="C936" s="110" t="s">
        <v>618</v>
      </c>
      <c r="D936" s="110" t="s">
        <v>210</v>
      </c>
      <c r="E936" s="104">
        <v>0.0</v>
      </c>
      <c r="F936" s="104">
        <v>13.15</v>
      </c>
      <c r="G936" s="110" t="s">
        <v>238</v>
      </c>
      <c r="H936" s="112">
        <v>45833.0</v>
      </c>
      <c r="I936" s="110" t="s">
        <v>2328</v>
      </c>
      <c r="J936" s="104">
        <v>0.0</v>
      </c>
      <c r="K936" s="110" t="s">
        <v>2329</v>
      </c>
      <c r="L936" s="110" t="s">
        <v>2330</v>
      </c>
    </row>
    <row r="937">
      <c r="A937" s="110" t="s">
        <v>1819</v>
      </c>
      <c r="B937" s="104">
        <v>0.0</v>
      </c>
      <c r="C937" s="110" t="s">
        <v>204</v>
      </c>
      <c r="D937" s="110" t="s">
        <v>322</v>
      </c>
      <c r="E937" s="104">
        <v>0.0</v>
      </c>
      <c r="F937" s="104">
        <v>37.95</v>
      </c>
      <c r="G937" s="110" t="s">
        <v>218</v>
      </c>
      <c r="H937" s="112">
        <v>45915.0</v>
      </c>
      <c r="I937" s="110" t="s">
        <v>1819</v>
      </c>
      <c r="J937" s="104">
        <v>0.0</v>
      </c>
      <c r="K937" s="110" t="s">
        <v>2331</v>
      </c>
      <c r="L937" s="110" t="s">
        <v>2332</v>
      </c>
    </row>
    <row r="938">
      <c r="A938" s="110" t="s">
        <v>1819</v>
      </c>
      <c r="B938" s="104">
        <v>0.0</v>
      </c>
      <c r="C938" s="110" t="s">
        <v>204</v>
      </c>
      <c r="D938" s="110" t="s">
        <v>322</v>
      </c>
      <c r="E938" s="104">
        <v>0.0</v>
      </c>
      <c r="F938" s="104">
        <v>30.65</v>
      </c>
      <c r="G938" s="110" t="s">
        <v>2333</v>
      </c>
      <c r="H938" s="112">
        <v>45915.0</v>
      </c>
      <c r="I938" s="110" t="s">
        <v>1819</v>
      </c>
      <c r="J938" s="104">
        <v>0.0</v>
      </c>
      <c r="K938" s="110" t="s">
        <v>2331</v>
      </c>
      <c r="L938" s="110" t="s">
        <v>2334</v>
      </c>
    </row>
    <row r="939">
      <c r="A939" s="110" t="s">
        <v>1823</v>
      </c>
      <c r="B939" s="104">
        <v>0.0</v>
      </c>
      <c r="C939" s="110" t="s">
        <v>562</v>
      </c>
      <c r="D939" s="110" t="s">
        <v>210</v>
      </c>
      <c r="E939" s="104">
        <v>0.0</v>
      </c>
      <c r="F939" s="104">
        <v>9.25</v>
      </c>
      <c r="G939" s="110" t="s">
        <v>238</v>
      </c>
      <c r="H939" s="112">
        <v>45859.0</v>
      </c>
      <c r="I939" s="110" t="s">
        <v>1823</v>
      </c>
      <c r="J939" s="104">
        <v>0.0</v>
      </c>
      <c r="K939" s="110" t="s">
        <v>2335</v>
      </c>
      <c r="L939" s="110" t="s">
        <v>2336</v>
      </c>
    </row>
    <row r="940">
      <c r="A940" s="110" t="s">
        <v>1823</v>
      </c>
      <c r="B940" s="104">
        <v>0.0</v>
      </c>
      <c r="C940" s="110" t="s">
        <v>331</v>
      </c>
      <c r="D940" s="110" t="s">
        <v>210</v>
      </c>
      <c r="E940" s="104">
        <v>0.0</v>
      </c>
      <c r="F940" s="104">
        <v>14.0</v>
      </c>
      <c r="G940" s="110" t="s">
        <v>218</v>
      </c>
      <c r="H940" s="112">
        <v>45979.0</v>
      </c>
      <c r="I940" s="110" t="s">
        <v>1823</v>
      </c>
      <c r="J940" s="104">
        <v>0.0</v>
      </c>
      <c r="K940" s="110" t="s">
        <v>2337</v>
      </c>
      <c r="L940" s="110" t="s">
        <v>2338</v>
      </c>
    </row>
    <row r="941">
      <c r="A941" s="110" t="s">
        <v>1827</v>
      </c>
      <c r="B941" s="104">
        <v>0.0</v>
      </c>
      <c r="C941" s="110" t="s">
        <v>273</v>
      </c>
      <c r="D941" s="110" t="s">
        <v>205</v>
      </c>
      <c r="E941" s="104">
        <v>0.0</v>
      </c>
      <c r="F941" s="104">
        <v>4.54</v>
      </c>
      <c r="G941" s="110" t="s">
        <v>268</v>
      </c>
      <c r="H941" s="112">
        <v>45888.0</v>
      </c>
      <c r="I941" s="110" t="s">
        <v>2339</v>
      </c>
      <c r="J941" s="104">
        <v>0.0</v>
      </c>
      <c r="K941" s="110" t="s">
        <v>2340</v>
      </c>
      <c r="L941" s="110" t="s">
        <v>2341</v>
      </c>
    </row>
    <row r="942">
      <c r="A942" s="110" t="s">
        <v>1829</v>
      </c>
      <c r="B942" s="104">
        <v>0.0</v>
      </c>
      <c r="C942" s="110" t="s">
        <v>331</v>
      </c>
      <c r="D942" s="110" t="s">
        <v>210</v>
      </c>
      <c r="E942" s="104">
        <v>0.0</v>
      </c>
      <c r="F942" s="104">
        <v>57.0</v>
      </c>
      <c r="G942" s="110" t="s">
        <v>238</v>
      </c>
      <c r="H942" s="112">
        <v>45754.0</v>
      </c>
      <c r="I942" s="110" t="s">
        <v>2342</v>
      </c>
      <c r="J942" s="104">
        <v>0.0</v>
      </c>
      <c r="K942" s="110" t="s">
        <v>2343</v>
      </c>
      <c r="L942" s="110" t="s">
        <v>2344</v>
      </c>
    </row>
    <row r="943">
      <c r="A943" s="110" t="s">
        <v>1831</v>
      </c>
      <c r="B943" s="104">
        <v>0.0</v>
      </c>
      <c r="C943" s="110" t="s">
        <v>331</v>
      </c>
      <c r="D943" s="110" t="s">
        <v>210</v>
      </c>
      <c r="E943" s="104">
        <v>0.0</v>
      </c>
      <c r="F943" s="104">
        <v>14.0</v>
      </c>
      <c r="G943" s="110" t="s">
        <v>218</v>
      </c>
      <c r="H943" s="112">
        <v>45985.0</v>
      </c>
      <c r="I943" s="110" t="s">
        <v>1831</v>
      </c>
      <c r="J943" s="104">
        <v>0.0</v>
      </c>
      <c r="K943" s="110" t="s">
        <v>2345</v>
      </c>
      <c r="L943" s="110" t="s">
        <v>2346</v>
      </c>
    </row>
    <row r="944">
      <c r="A944" s="110" t="s">
        <v>1834</v>
      </c>
      <c r="B944" s="104">
        <v>0.0</v>
      </c>
      <c r="C944" s="110" t="s">
        <v>344</v>
      </c>
      <c r="D944" s="110" t="s">
        <v>210</v>
      </c>
      <c r="E944" s="104">
        <v>0.0</v>
      </c>
      <c r="F944" s="104">
        <v>11.0</v>
      </c>
      <c r="G944" s="110" t="s">
        <v>262</v>
      </c>
      <c r="H944" s="112">
        <v>45849.0</v>
      </c>
      <c r="I944" s="110" t="s">
        <v>1834</v>
      </c>
      <c r="J944" s="104">
        <v>0.0</v>
      </c>
      <c r="K944" s="110" t="s">
        <v>2347</v>
      </c>
      <c r="L944" s="110" t="s">
        <v>2348</v>
      </c>
    </row>
    <row r="945">
      <c r="A945" s="110" t="s">
        <v>1836</v>
      </c>
      <c r="B945" s="104">
        <v>0.0</v>
      </c>
      <c r="C945" s="110" t="s">
        <v>331</v>
      </c>
      <c r="D945" s="110" t="s">
        <v>210</v>
      </c>
      <c r="E945" s="104">
        <v>0.0</v>
      </c>
      <c r="F945" s="104">
        <v>19.0</v>
      </c>
      <c r="G945" s="110" t="s">
        <v>238</v>
      </c>
      <c r="H945" s="112">
        <v>45754.0</v>
      </c>
      <c r="I945" s="110" t="s">
        <v>2349</v>
      </c>
      <c r="J945" s="104">
        <v>0.0</v>
      </c>
      <c r="K945" s="110" t="s">
        <v>2350</v>
      </c>
      <c r="L945" s="110" t="s">
        <v>2351</v>
      </c>
    </row>
    <row r="946">
      <c r="A946" s="110" t="s">
        <v>1838</v>
      </c>
      <c r="B946" s="104">
        <v>0.0</v>
      </c>
      <c r="C946" s="110" t="s">
        <v>2352</v>
      </c>
      <c r="D946" s="110" t="s">
        <v>210</v>
      </c>
      <c r="E946" s="104">
        <v>0.0</v>
      </c>
      <c r="F946" s="104">
        <v>30.32</v>
      </c>
      <c r="G946" s="110" t="s">
        <v>2353</v>
      </c>
      <c r="H946" s="112">
        <v>45905.0</v>
      </c>
      <c r="I946" s="110" t="s">
        <v>1838</v>
      </c>
      <c r="J946" s="104">
        <v>0.0</v>
      </c>
      <c r="K946" s="110" t="s">
        <v>2354</v>
      </c>
      <c r="L946" s="110" t="s">
        <v>2355</v>
      </c>
    </row>
    <row r="947">
      <c r="A947" s="110" t="s">
        <v>1841</v>
      </c>
      <c r="B947" s="104">
        <v>0.0</v>
      </c>
      <c r="C947" s="110" t="s">
        <v>1812</v>
      </c>
      <c r="D947" s="110" t="s">
        <v>544</v>
      </c>
      <c r="E947" s="104">
        <v>0.0</v>
      </c>
      <c r="F947" s="104">
        <v>195.07</v>
      </c>
      <c r="G947" s="110" t="s">
        <v>1813</v>
      </c>
      <c r="H947" s="112">
        <v>45930.0</v>
      </c>
      <c r="I947" s="104">
        <v>0.0</v>
      </c>
      <c r="J947" s="104">
        <v>0.0</v>
      </c>
      <c r="K947" s="110" t="s">
        <v>2356</v>
      </c>
      <c r="L947" s="110" t="s">
        <v>2357</v>
      </c>
    </row>
    <row r="948">
      <c r="A948" s="110" t="s">
        <v>1844</v>
      </c>
      <c r="B948" s="104">
        <v>0.0</v>
      </c>
      <c r="C948" s="110" t="s">
        <v>1399</v>
      </c>
      <c r="D948" s="110" t="s">
        <v>210</v>
      </c>
      <c r="E948" s="104">
        <v>0.0</v>
      </c>
      <c r="F948" s="104">
        <v>192.0</v>
      </c>
      <c r="G948" s="110" t="s">
        <v>334</v>
      </c>
      <c r="H948" s="112">
        <v>45964.0</v>
      </c>
      <c r="I948" s="104">
        <v>0.0</v>
      </c>
      <c r="J948" s="104">
        <v>0.0</v>
      </c>
      <c r="K948" s="110" t="s">
        <v>2358</v>
      </c>
      <c r="L948" s="110" t="s">
        <v>2359</v>
      </c>
    </row>
    <row r="949">
      <c r="A949" s="110" t="s">
        <v>1844</v>
      </c>
      <c r="B949" s="104">
        <v>0.0</v>
      </c>
      <c r="C949" s="110" t="s">
        <v>1399</v>
      </c>
      <c r="D949" s="110" t="s">
        <v>210</v>
      </c>
      <c r="E949" s="104">
        <v>0.0</v>
      </c>
      <c r="F949" s="104">
        <v>192.0</v>
      </c>
      <c r="G949" s="110" t="s">
        <v>218</v>
      </c>
      <c r="H949" s="112">
        <v>45964.0</v>
      </c>
      <c r="I949" s="104">
        <v>0.0</v>
      </c>
      <c r="J949" s="104">
        <v>0.0</v>
      </c>
      <c r="K949" s="110" t="s">
        <v>2358</v>
      </c>
      <c r="L949" s="110" t="s">
        <v>2360</v>
      </c>
    </row>
    <row r="950">
      <c r="A950" s="110" t="s">
        <v>1846</v>
      </c>
      <c r="B950" s="104">
        <v>0.0</v>
      </c>
      <c r="C950" s="110" t="s">
        <v>551</v>
      </c>
      <c r="D950" s="110" t="s">
        <v>226</v>
      </c>
      <c r="E950" s="104">
        <v>0.0</v>
      </c>
      <c r="F950" s="104">
        <v>30.21</v>
      </c>
      <c r="G950" s="110" t="s">
        <v>2097</v>
      </c>
      <c r="H950" s="112">
        <v>45971.0</v>
      </c>
      <c r="I950" s="104">
        <v>0.0</v>
      </c>
      <c r="J950" s="104">
        <v>0.0</v>
      </c>
      <c r="K950" s="110" t="s">
        <v>2361</v>
      </c>
      <c r="L950" s="110" t="s">
        <v>2362</v>
      </c>
    </row>
    <row r="951">
      <c r="A951" s="110" t="s">
        <v>1848</v>
      </c>
      <c r="B951" s="104">
        <v>0.0</v>
      </c>
      <c r="C951" s="110" t="s">
        <v>331</v>
      </c>
      <c r="D951" s="110" t="s">
        <v>210</v>
      </c>
      <c r="E951" s="104">
        <v>0.0</v>
      </c>
      <c r="F951" s="104">
        <v>121.0</v>
      </c>
      <c r="G951" s="110" t="s">
        <v>218</v>
      </c>
      <c r="H951" s="112">
        <v>45897.0</v>
      </c>
      <c r="I951" s="110" t="s">
        <v>2363</v>
      </c>
      <c r="J951" s="104">
        <v>0.0</v>
      </c>
      <c r="K951" s="110" t="s">
        <v>2364</v>
      </c>
      <c r="L951" s="110" t="s">
        <v>2365</v>
      </c>
    </row>
    <row r="952">
      <c r="A952" s="110" t="s">
        <v>1849</v>
      </c>
      <c r="B952" s="104">
        <v>0.0</v>
      </c>
      <c r="C952" s="110" t="s">
        <v>331</v>
      </c>
      <c r="D952" s="110" t="s">
        <v>612</v>
      </c>
      <c r="E952" s="104">
        <v>0.0</v>
      </c>
      <c r="F952" s="104">
        <v>15.0</v>
      </c>
      <c r="G952" s="110" t="s">
        <v>218</v>
      </c>
      <c r="H952" s="112">
        <v>45863.0</v>
      </c>
      <c r="I952" s="110" t="s">
        <v>1849</v>
      </c>
      <c r="J952" s="104">
        <v>0.0</v>
      </c>
      <c r="K952" s="110" t="s">
        <v>2366</v>
      </c>
      <c r="L952" s="110" t="s">
        <v>2367</v>
      </c>
    </row>
    <row r="953">
      <c r="A953" s="110" t="s">
        <v>1851</v>
      </c>
      <c r="B953" s="104">
        <v>0.0</v>
      </c>
      <c r="C953" s="110" t="s">
        <v>417</v>
      </c>
      <c r="D953" s="110" t="s">
        <v>201</v>
      </c>
      <c r="E953" s="104">
        <v>0.0</v>
      </c>
      <c r="F953" s="104">
        <v>7.4</v>
      </c>
      <c r="G953" s="110" t="s">
        <v>774</v>
      </c>
      <c r="H953" s="112">
        <v>45897.0</v>
      </c>
      <c r="I953" s="104">
        <v>0.0</v>
      </c>
      <c r="J953" s="104">
        <v>0.0</v>
      </c>
      <c r="K953" s="110" t="s">
        <v>2368</v>
      </c>
      <c r="L953" s="110" t="s">
        <v>2369</v>
      </c>
    </row>
    <row r="954">
      <c r="A954" s="110" t="s">
        <v>1854</v>
      </c>
      <c r="B954" s="104">
        <v>0.0</v>
      </c>
      <c r="C954" s="110" t="s">
        <v>562</v>
      </c>
      <c r="D954" s="110" t="s">
        <v>210</v>
      </c>
      <c r="E954" s="104">
        <v>0.0</v>
      </c>
      <c r="F954" s="104">
        <v>25.0</v>
      </c>
      <c r="G954" s="110" t="s">
        <v>238</v>
      </c>
      <c r="H954" s="112">
        <v>45930.0</v>
      </c>
      <c r="I954" s="110" t="s">
        <v>1854</v>
      </c>
      <c r="J954" s="104">
        <v>0.0</v>
      </c>
      <c r="K954" s="110" t="s">
        <v>2370</v>
      </c>
      <c r="L954" s="110" t="s">
        <v>2371</v>
      </c>
    </row>
    <row r="955">
      <c r="A955" s="110" t="s">
        <v>1855</v>
      </c>
      <c r="B955" s="110" t="s">
        <v>2372</v>
      </c>
      <c r="C955" s="110" t="s">
        <v>2373</v>
      </c>
      <c r="D955" s="110" t="s">
        <v>226</v>
      </c>
      <c r="E955" s="104">
        <v>0.0</v>
      </c>
      <c r="F955" s="104">
        <v>64.0</v>
      </c>
      <c r="G955" s="110" t="s">
        <v>218</v>
      </c>
      <c r="H955" s="112">
        <v>45895.0</v>
      </c>
      <c r="I955" s="110" t="s">
        <v>1855</v>
      </c>
      <c r="J955" s="104">
        <v>0.0</v>
      </c>
      <c r="K955" s="110" t="s">
        <v>2374</v>
      </c>
      <c r="L955" s="110" t="s">
        <v>2375</v>
      </c>
    </row>
    <row r="956">
      <c r="A956" s="110" t="s">
        <v>1855</v>
      </c>
      <c r="B956" s="110" t="s">
        <v>2372</v>
      </c>
      <c r="C956" s="110" t="s">
        <v>2373</v>
      </c>
      <c r="D956" s="110" t="s">
        <v>226</v>
      </c>
      <c r="E956" s="104">
        <v>0.0</v>
      </c>
      <c r="F956" s="104">
        <v>58.0</v>
      </c>
      <c r="G956" s="110" t="s">
        <v>334</v>
      </c>
      <c r="H956" s="112">
        <v>45895.0</v>
      </c>
      <c r="I956" s="110" t="s">
        <v>1855</v>
      </c>
      <c r="J956" s="104">
        <v>0.0</v>
      </c>
      <c r="K956" s="110" t="s">
        <v>2374</v>
      </c>
      <c r="L956" s="110" t="s">
        <v>2376</v>
      </c>
    </row>
    <row r="957">
      <c r="A957" s="110" t="s">
        <v>1855</v>
      </c>
      <c r="B957" s="110" t="s">
        <v>2372</v>
      </c>
      <c r="C957" s="110" t="s">
        <v>2373</v>
      </c>
      <c r="D957" s="110" t="s">
        <v>226</v>
      </c>
      <c r="E957" s="104">
        <v>0.0</v>
      </c>
      <c r="F957" s="104">
        <v>57.0</v>
      </c>
      <c r="G957" s="110" t="s">
        <v>2011</v>
      </c>
      <c r="H957" s="112">
        <v>45736.0</v>
      </c>
      <c r="I957" s="110" t="s">
        <v>1855</v>
      </c>
      <c r="J957" s="104">
        <v>0.0</v>
      </c>
      <c r="K957" s="110" t="s">
        <v>2374</v>
      </c>
      <c r="L957" s="110" t="s">
        <v>2377</v>
      </c>
    </row>
    <row r="958">
      <c r="A958" s="110" t="s">
        <v>1856</v>
      </c>
      <c r="B958" s="104">
        <v>0.0</v>
      </c>
      <c r="C958" s="110" t="s">
        <v>839</v>
      </c>
      <c r="D958" s="110" t="s">
        <v>226</v>
      </c>
      <c r="E958" s="104">
        <v>0.0</v>
      </c>
      <c r="F958" s="104">
        <v>2.71</v>
      </c>
      <c r="G958" s="110" t="s">
        <v>2378</v>
      </c>
      <c r="H958" s="112">
        <v>45980.0</v>
      </c>
      <c r="I958" s="104">
        <v>0.0</v>
      </c>
      <c r="J958" s="104">
        <v>0.0</v>
      </c>
      <c r="K958" s="110" t="s">
        <v>2379</v>
      </c>
      <c r="L958" s="110" t="s">
        <v>2380</v>
      </c>
    </row>
    <row r="959">
      <c r="A959" s="110" t="s">
        <v>1858</v>
      </c>
      <c r="B959" s="104">
        <v>0.0</v>
      </c>
      <c r="C959" s="110" t="s">
        <v>551</v>
      </c>
      <c r="D959" s="110" t="s">
        <v>226</v>
      </c>
      <c r="E959" s="104">
        <v>0.0</v>
      </c>
      <c r="F959" s="104">
        <v>25.36</v>
      </c>
      <c r="G959" s="110" t="s">
        <v>2097</v>
      </c>
      <c r="H959" s="112">
        <v>45971.0</v>
      </c>
      <c r="I959" s="104">
        <v>0.0</v>
      </c>
      <c r="J959" s="104">
        <v>0.0</v>
      </c>
      <c r="K959" s="110" t="s">
        <v>2381</v>
      </c>
      <c r="L959" s="110" t="s">
        <v>2382</v>
      </c>
    </row>
    <row r="960">
      <c r="A960" s="110" t="s">
        <v>1860</v>
      </c>
      <c r="B960" s="104">
        <v>0.0</v>
      </c>
      <c r="C960" s="110" t="s">
        <v>2383</v>
      </c>
      <c r="D960" s="110" t="s">
        <v>210</v>
      </c>
      <c r="E960" s="104">
        <v>0.0</v>
      </c>
      <c r="F960" s="104">
        <v>30.0</v>
      </c>
      <c r="G960" s="110" t="s">
        <v>334</v>
      </c>
      <c r="H960" s="112">
        <v>45895.0</v>
      </c>
      <c r="I960" s="110" t="s">
        <v>2384</v>
      </c>
      <c r="J960" s="104">
        <v>0.0</v>
      </c>
      <c r="K960" s="110" t="s">
        <v>2385</v>
      </c>
      <c r="L960" s="110" t="s">
        <v>2386</v>
      </c>
    </row>
    <row r="961">
      <c r="A961" s="110" t="s">
        <v>1863</v>
      </c>
      <c r="B961" s="104">
        <v>0.0</v>
      </c>
      <c r="C961" s="110" t="s">
        <v>562</v>
      </c>
      <c r="D961" s="110" t="s">
        <v>210</v>
      </c>
      <c r="E961" s="104">
        <v>0.0</v>
      </c>
      <c r="F961" s="104">
        <v>13.0</v>
      </c>
      <c r="G961" s="110" t="s">
        <v>218</v>
      </c>
      <c r="H961" s="112">
        <v>45950.0</v>
      </c>
      <c r="I961" s="110" t="s">
        <v>1863</v>
      </c>
      <c r="J961" s="104">
        <v>0.0</v>
      </c>
      <c r="K961" s="110" t="s">
        <v>2387</v>
      </c>
      <c r="L961" s="110" t="s">
        <v>2388</v>
      </c>
    </row>
    <row r="962">
      <c r="A962" s="110" t="s">
        <v>1865</v>
      </c>
      <c r="B962" s="110" t="s">
        <v>2389</v>
      </c>
      <c r="C962" s="110" t="s">
        <v>720</v>
      </c>
      <c r="D962" s="110" t="s">
        <v>210</v>
      </c>
      <c r="E962" s="104">
        <v>0.0</v>
      </c>
      <c r="F962" s="104">
        <v>44.0</v>
      </c>
      <c r="G962" s="110" t="s">
        <v>721</v>
      </c>
      <c r="H962" s="112">
        <v>45741.0</v>
      </c>
      <c r="I962" s="104">
        <v>0.0</v>
      </c>
      <c r="J962" s="104">
        <v>0.0</v>
      </c>
      <c r="K962" s="110" t="s">
        <v>2390</v>
      </c>
      <c r="L962" s="110" t="s">
        <v>2391</v>
      </c>
    </row>
    <row r="963">
      <c r="A963" s="110" t="s">
        <v>1865</v>
      </c>
      <c r="B963" s="110" t="s">
        <v>2389</v>
      </c>
      <c r="C963" s="110" t="s">
        <v>720</v>
      </c>
      <c r="D963" s="110" t="s">
        <v>210</v>
      </c>
      <c r="E963" s="104">
        <v>0.0</v>
      </c>
      <c r="F963" s="104">
        <v>41.0</v>
      </c>
      <c r="G963" s="110" t="s">
        <v>724</v>
      </c>
      <c r="H963" s="112">
        <v>45741.0</v>
      </c>
      <c r="I963" s="104">
        <v>0.0</v>
      </c>
      <c r="J963" s="104">
        <v>0.0</v>
      </c>
      <c r="K963" s="110" t="s">
        <v>2390</v>
      </c>
      <c r="L963" s="110" t="s">
        <v>2392</v>
      </c>
    </row>
    <row r="964">
      <c r="A964" s="110" t="s">
        <v>1865</v>
      </c>
      <c r="B964" s="110" t="s">
        <v>2389</v>
      </c>
      <c r="C964" s="110" t="s">
        <v>720</v>
      </c>
      <c r="D964" s="110" t="s">
        <v>210</v>
      </c>
      <c r="E964" s="104">
        <v>0.0</v>
      </c>
      <c r="F964" s="104">
        <v>37.0</v>
      </c>
      <c r="G964" s="110" t="s">
        <v>726</v>
      </c>
      <c r="H964" s="112">
        <v>45741.0</v>
      </c>
      <c r="I964" s="104">
        <v>0.0</v>
      </c>
      <c r="J964" s="104">
        <v>0.0</v>
      </c>
      <c r="K964" s="110" t="s">
        <v>2390</v>
      </c>
      <c r="L964" s="110" t="s">
        <v>2393</v>
      </c>
    </row>
    <row r="965">
      <c r="A965" s="110" t="s">
        <v>1865</v>
      </c>
      <c r="B965" s="110" t="s">
        <v>2389</v>
      </c>
      <c r="C965" s="110" t="s">
        <v>720</v>
      </c>
      <c r="D965" s="110" t="s">
        <v>210</v>
      </c>
      <c r="E965" s="104">
        <v>0.0</v>
      </c>
      <c r="F965" s="104">
        <v>36.0</v>
      </c>
      <c r="G965" s="110" t="s">
        <v>728</v>
      </c>
      <c r="H965" s="112">
        <v>45741.0</v>
      </c>
      <c r="I965" s="104">
        <v>0.0</v>
      </c>
      <c r="J965" s="104">
        <v>0.0</v>
      </c>
      <c r="K965" s="110" t="s">
        <v>2390</v>
      </c>
      <c r="L965" s="110" t="s">
        <v>2394</v>
      </c>
    </row>
    <row r="966">
      <c r="A966" s="110" t="s">
        <v>1866</v>
      </c>
      <c r="B966" s="104">
        <v>0.0</v>
      </c>
      <c r="C966" s="110" t="s">
        <v>2395</v>
      </c>
      <c r="D966" s="110" t="s">
        <v>210</v>
      </c>
      <c r="E966" s="104">
        <v>0.0</v>
      </c>
      <c r="F966" s="104">
        <v>10.69</v>
      </c>
      <c r="G966" s="110" t="s">
        <v>2396</v>
      </c>
      <c r="H966" s="112">
        <v>45833.0</v>
      </c>
      <c r="I966" s="110" t="s">
        <v>1889</v>
      </c>
      <c r="J966" s="104">
        <v>0.0</v>
      </c>
      <c r="K966" s="110" t="s">
        <v>2397</v>
      </c>
      <c r="L966" s="110" t="s">
        <v>2398</v>
      </c>
    </row>
    <row r="967">
      <c r="A967" s="110" t="s">
        <v>1867</v>
      </c>
      <c r="B967" s="104">
        <v>0.0</v>
      </c>
      <c r="C967" s="110" t="s">
        <v>317</v>
      </c>
      <c r="D967" s="110" t="s">
        <v>217</v>
      </c>
      <c r="E967" s="104">
        <v>0.0</v>
      </c>
      <c r="F967" s="104">
        <v>190.0</v>
      </c>
      <c r="G967" s="104">
        <v>0.0</v>
      </c>
      <c r="H967" s="112">
        <v>45874.0</v>
      </c>
      <c r="I967" s="104">
        <v>0.0</v>
      </c>
      <c r="J967" s="104">
        <v>0.0</v>
      </c>
      <c r="K967" s="110" t="s">
        <v>2399</v>
      </c>
      <c r="L967" s="110" t="s">
        <v>2400</v>
      </c>
    </row>
    <row r="968">
      <c r="A968" s="110" t="s">
        <v>1868</v>
      </c>
      <c r="B968" s="104">
        <v>0.0</v>
      </c>
      <c r="C968" s="110" t="s">
        <v>2395</v>
      </c>
      <c r="D968" s="110" t="s">
        <v>210</v>
      </c>
      <c r="E968" s="104">
        <v>0.0</v>
      </c>
      <c r="F968" s="104">
        <v>8.38</v>
      </c>
      <c r="G968" s="110" t="s">
        <v>2396</v>
      </c>
      <c r="H968" s="112">
        <v>45833.0</v>
      </c>
      <c r="I968" s="110" t="s">
        <v>1889</v>
      </c>
      <c r="J968" s="104">
        <v>0.0</v>
      </c>
      <c r="K968" s="110" t="s">
        <v>2401</v>
      </c>
      <c r="L968" s="110" t="s">
        <v>2402</v>
      </c>
    </row>
    <row r="969">
      <c r="A969" s="110" t="s">
        <v>1871</v>
      </c>
      <c r="B969" s="104">
        <v>0.0</v>
      </c>
      <c r="C969" s="110" t="s">
        <v>209</v>
      </c>
      <c r="D969" s="110" t="s">
        <v>217</v>
      </c>
      <c r="E969" s="104">
        <v>23.5</v>
      </c>
      <c r="F969" s="104">
        <v>23.5</v>
      </c>
      <c r="G969" s="110" t="s">
        <v>238</v>
      </c>
      <c r="H969" s="112">
        <v>45987.0</v>
      </c>
      <c r="I969" s="110" t="s">
        <v>1871</v>
      </c>
      <c r="J969" s="104">
        <v>0.0</v>
      </c>
      <c r="K969" s="110" t="s">
        <v>2403</v>
      </c>
      <c r="L969" s="110" t="s">
        <v>2404</v>
      </c>
    </row>
    <row r="970">
      <c r="A970" s="110" t="s">
        <v>1873</v>
      </c>
      <c r="B970" s="104">
        <v>0.0</v>
      </c>
      <c r="C970" s="110" t="s">
        <v>209</v>
      </c>
      <c r="D970" s="110" t="s">
        <v>217</v>
      </c>
      <c r="E970" s="104">
        <v>0.0</v>
      </c>
      <c r="F970" s="104">
        <v>0.0</v>
      </c>
      <c r="G970" s="104">
        <v>0.0</v>
      </c>
      <c r="H970" s="104" t="s">
        <v>232</v>
      </c>
      <c r="I970" s="104">
        <v>0.0</v>
      </c>
      <c r="J970" s="104">
        <v>0.0</v>
      </c>
      <c r="K970" s="110" t="s">
        <v>2405</v>
      </c>
      <c r="L970" s="110" t="s">
        <v>2406</v>
      </c>
    </row>
    <row r="971">
      <c r="A971" s="110" t="s">
        <v>1875</v>
      </c>
      <c r="B971" s="104">
        <v>0.0</v>
      </c>
      <c r="C971" s="110" t="s">
        <v>209</v>
      </c>
      <c r="D971" s="110" t="s">
        <v>217</v>
      </c>
      <c r="E971" s="104">
        <v>0.0</v>
      </c>
      <c r="F971" s="104">
        <v>0.0</v>
      </c>
      <c r="G971" s="104">
        <v>0.0</v>
      </c>
      <c r="H971" s="104" t="s">
        <v>232</v>
      </c>
      <c r="I971" s="104">
        <v>0.0</v>
      </c>
      <c r="J971" s="104">
        <v>0.0</v>
      </c>
      <c r="K971" s="110" t="s">
        <v>2407</v>
      </c>
      <c r="L971" s="110" t="s">
        <v>2408</v>
      </c>
    </row>
    <row r="972">
      <c r="A972" s="110" t="s">
        <v>1878</v>
      </c>
      <c r="B972" s="104">
        <v>0.0</v>
      </c>
      <c r="C972" s="110" t="s">
        <v>209</v>
      </c>
      <c r="D972" s="110" t="s">
        <v>217</v>
      </c>
      <c r="E972" s="104">
        <v>0.0</v>
      </c>
      <c r="F972" s="104">
        <v>0.0</v>
      </c>
      <c r="G972" s="104">
        <v>0.0</v>
      </c>
      <c r="H972" s="104" t="s">
        <v>232</v>
      </c>
      <c r="I972" s="104">
        <v>0.0</v>
      </c>
      <c r="J972" s="104">
        <v>0.0</v>
      </c>
      <c r="K972" s="110" t="s">
        <v>2409</v>
      </c>
      <c r="L972" s="110" t="s">
        <v>2410</v>
      </c>
    </row>
    <row r="973">
      <c r="A973" s="110" t="s">
        <v>1880</v>
      </c>
      <c r="B973" s="110" t="s">
        <v>2411</v>
      </c>
      <c r="C973" s="110" t="s">
        <v>2412</v>
      </c>
      <c r="D973" s="110" t="s">
        <v>267</v>
      </c>
      <c r="E973" s="104">
        <v>0.0</v>
      </c>
      <c r="F973" s="104">
        <v>400.0</v>
      </c>
      <c r="G973" s="110" t="s">
        <v>238</v>
      </c>
      <c r="H973" s="112">
        <v>45825.0</v>
      </c>
      <c r="I973" s="110" t="s">
        <v>2413</v>
      </c>
      <c r="J973" s="104">
        <v>0.0</v>
      </c>
      <c r="K973" s="110" t="s">
        <v>2414</v>
      </c>
      <c r="L973" s="110" t="s">
        <v>2415</v>
      </c>
    </row>
    <row r="974">
      <c r="A974" s="110" t="s">
        <v>1882</v>
      </c>
      <c r="B974" s="104">
        <v>0.0</v>
      </c>
      <c r="C974" s="110" t="s">
        <v>247</v>
      </c>
      <c r="D974" s="110" t="s">
        <v>210</v>
      </c>
      <c r="E974" s="104">
        <v>0.0</v>
      </c>
      <c r="F974" s="104">
        <v>0.0</v>
      </c>
      <c r="G974" s="104">
        <v>0.0</v>
      </c>
      <c r="H974" s="104" t="s">
        <v>232</v>
      </c>
      <c r="I974" s="104">
        <v>0.0</v>
      </c>
      <c r="J974" s="104">
        <v>0.0</v>
      </c>
      <c r="K974" s="110" t="s">
        <v>2416</v>
      </c>
      <c r="L974" s="110" t="s">
        <v>2417</v>
      </c>
    </row>
    <row r="975">
      <c r="A975" s="110" t="s">
        <v>1884</v>
      </c>
      <c r="B975" s="104">
        <v>0.0</v>
      </c>
      <c r="C975" s="110" t="s">
        <v>209</v>
      </c>
      <c r="D975" s="110" t="s">
        <v>217</v>
      </c>
      <c r="E975" s="104">
        <v>0.0</v>
      </c>
      <c r="F975" s="104">
        <v>0.0</v>
      </c>
      <c r="G975" s="104">
        <v>0.0</v>
      </c>
      <c r="H975" s="104" t="s">
        <v>232</v>
      </c>
      <c r="I975" s="104">
        <v>0.0</v>
      </c>
      <c r="J975" s="104">
        <v>0.0</v>
      </c>
      <c r="K975" s="110" t="s">
        <v>2418</v>
      </c>
      <c r="L975" s="110" t="s">
        <v>2419</v>
      </c>
    </row>
    <row r="976">
      <c r="A976" s="110" t="s">
        <v>1886</v>
      </c>
      <c r="B976" s="104">
        <v>0.0</v>
      </c>
      <c r="C976" s="110" t="s">
        <v>551</v>
      </c>
      <c r="D976" s="110" t="s">
        <v>552</v>
      </c>
      <c r="E976" s="104">
        <v>0.0</v>
      </c>
      <c r="F976" s="104">
        <v>42.12</v>
      </c>
      <c r="G976" s="110" t="s">
        <v>238</v>
      </c>
      <c r="H976" s="112">
        <v>45713.0</v>
      </c>
      <c r="I976" s="104">
        <v>0.0</v>
      </c>
      <c r="J976" s="104">
        <v>0.0</v>
      </c>
      <c r="K976" s="110" t="s">
        <v>2420</v>
      </c>
      <c r="L976" s="110" t="s">
        <v>2421</v>
      </c>
    </row>
    <row r="977">
      <c r="A977" s="110" t="s">
        <v>1889</v>
      </c>
      <c r="B977" s="104">
        <v>0.0</v>
      </c>
      <c r="C977" s="110" t="s">
        <v>2395</v>
      </c>
      <c r="D977" s="110" t="s">
        <v>201</v>
      </c>
      <c r="E977" s="104">
        <v>0.0</v>
      </c>
      <c r="F977" s="104">
        <v>0.0</v>
      </c>
      <c r="G977" s="104">
        <v>0.0</v>
      </c>
      <c r="H977" s="104" t="s">
        <v>232</v>
      </c>
      <c r="I977" s="104">
        <v>0.0</v>
      </c>
      <c r="J977" s="104">
        <v>0.0</v>
      </c>
      <c r="K977" s="110" t="s">
        <v>2422</v>
      </c>
      <c r="L977" s="110" t="s">
        <v>2423</v>
      </c>
    </row>
    <row r="978">
      <c r="A978" s="110" t="s">
        <v>1890</v>
      </c>
      <c r="B978" s="104">
        <v>0.0</v>
      </c>
      <c r="C978" s="110" t="s">
        <v>317</v>
      </c>
      <c r="D978" s="110" t="s">
        <v>205</v>
      </c>
      <c r="E978" s="104">
        <v>0.0</v>
      </c>
      <c r="F978" s="104">
        <v>45.0</v>
      </c>
      <c r="G978" s="104">
        <v>0.0</v>
      </c>
      <c r="H978" s="112">
        <v>45874.0</v>
      </c>
      <c r="I978" s="104">
        <v>0.0</v>
      </c>
      <c r="J978" s="104">
        <v>0.0</v>
      </c>
      <c r="K978" s="110" t="s">
        <v>2424</v>
      </c>
      <c r="L978" s="110" t="s">
        <v>2425</v>
      </c>
    </row>
    <row r="979">
      <c r="A979" s="110" t="s">
        <v>1891</v>
      </c>
      <c r="B979" s="104">
        <v>0.0</v>
      </c>
      <c r="C979" s="110" t="s">
        <v>551</v>
      </c>
      <c r="D979" s="110" t="s">
        <v>544</v>
      </c>
      <c r="E979" s="104">
        <v>0.0</v>
      </c>
      <c r="F979" s="104">
        <v>46.97</v>
      </c>
      <c r="G979" s="110" t="s">
        <v>206</v>
      </c>
      <c r="H979" s="112">
        <v>45887.0</v>
      </c>
      <c r="I979" s="110" t="s">
        <v>1891</v>
      </c>
      <c r="J979" s="104">
        <v>0.0</v>
      </c>
      <c r="K979" s="110" t="s">
        <v>2426</v>
      </c>
      <c r="L979" s="110" t="s">
        <v>2427</v>
      </c>
    </row>
    <row r="980">
      <c r="A980" s="110" t="s">
        <v>1892</v>
      </c>
      <c r="B980" s="104">
        <v>0.0</v>
      </c>
      <c r="C980" s="110" t="s">
        <v>551</v>
      </c>
      <c r="D980" s="110" t="s">
        <v>552</v>
      </c>
      <c r="E980" s="104">
        <v>0.0</v>
      </c>
      <c r="F980" s="104">
        <v>25.36</v>
      </c>
      <c r="G980" s="110" t="s">
        <v>238</v>
      </c>
      <c r="H980" s="112">
        <v>45713.0</v>
      </c>
      <c r="I980" s="104">
        <v>0.0</v>
      </c>
      <c r="J980" s="104">
        <v>0.0</v>
      </c>
      <c r="K980" s="110" t="s">
        <v>2428</v>
      </c>
      <c r="L980" s="110" t="s">
        <v>2429</v>
      </c>
    </row>
    <row r="981">
      <c r="A981" s="110" t="s">
        <v>1894</v>
      </c>
      <c r="B981" s="104">
        <v>0.0</v>
      </c>
      <c r="C981" s="110" t="s">
        <v>551</v>
      </c>
      <c r="D981" s="110" t="s">
        <v>552</v>
      </c>
      <c r="E981" s="104">
        <v>0.0</v>
      </c>
      <c r="F981" s="104">
        <v>30.21</v>
      </c>
      <c r="G981" s="110" t="s">
        <v>238</v>
      </c>
      <c r="H981" s="112">
        <v>45720.0</v>
      </c>
      <c r="I981" s="104">
        <v>0.0</v>
      </c>
      <c r="J981" s="104">
        <v>0.0</v>
      </c>
      <c r="K981" s="110" t="s">
        <v>2430</v>
      </c>
      <c r="L981" s="110" t="s">
        <v>2431</v>
      </c>
    </row>
    <row r="982">
      <c r="A982" s="110" t="s">
        <v>1895</v>
      </c>
      <c r="B982" s="110" t="s">
        <v>1895</v>
      </c>
      <c r="C982" s="110" t="s">
        <v>1094</v>
      </c>
      <c r="D982" s="110" t="s">
        <v>210</v>
      </c>
      <c r="E982" s="104">
        <v>0.0</v>
      </c>
      <c r="F982" s="104">
        <v>42.5</v>
      </c>
      <c r="G982" s="110" t="s">
        <v>218</v>
      </c>
      <c r="H982" s="112">
        <v>44887.0</v>
      </c>
      <c r="I982" s="104">
        <v>0.0</v>
      </c>
      <c r="J982" s="104">
        <v>0.0</v>
      </c>
      <c r="K982" s="110" t="s">
        <v>2432</v>
      </c>
      <c r="L982" s="110" t="s">
        <v>2433</v>
      </c>
    </row>
    <row r="983">
      <c r="A983" s="110" t="s">
        <v>1897</v>
      </c>
      <c r="B983" s="104">
        <v>0.0</v>
      </c>
      <c r="C983" s="110" t="s">
        <v>551</v>
      </c>
      <c r="D983" s="110" t="s">
        <v>544</v>
      </c>
      <c r="E983" s="104">
        <v>0.0</v>
      </c>
      <c r="F983" s="104">
        <v>24.04</v>
      </c>
      <c r="G983" s="110" t="s">
        <v>206</v>
      </c>
      <c r="H983" s="112">
        <v>45904.0</v>
      </c>
      <c r="I983" s="110" t="s">
        <v>1897</v>
      </c>
      <c r="J983" s="104">
        <v>0.0</v>
      </c>
      <c r="K983" s="110" t="s">
        <v>2434</v>
      </c>
      <c r="L983" s="110" t="s">
        <v>2435</v>
      </c>
    </row>
    <row r="984">
      <c r="A984" s="110" t="s">
        <v>1899</v>
      </c>
      <c r="B984" s="104">
        <v>0.0</v>
      </c>
      <c r="C984" s="110" t="s">
        <v>348</v>
      </c>
      <c r="D984" s="110" t="s">
        <v>210</v>
      </c>
      <c r="E984" s="104">
        <v>0.0</v>
      </c>
      <c r="F984" s="104">
        <v>88.86</v>
      </c>
      <c r="G984" s="110" t="s">
        <v>238</v>
      </c>
      <c r="H984" s="112">
        <v>45855.0</v>
      </c>
      <c r="I984" s="110" t="s">
        <v>1899</v>
      </c>
      <c r="J984" s="104">
        <v>0.0</v>
      </c>
      <c r="K984" s="110" t="s">
        <v>2436</v>
      </c>
      <c r="L984" s="110" t="s">
        <v>2437</v>
      </c>
    </row>
    <row r="985">
      <c r="A985" s="110" t="s">
        <v>1901</v>
      </c>
      <c r="B985" s="104">
        <v>0.0</v>
      </c>
      <c r="C985" s="110" t="s">
        <v>331</v>
      </c>
      <c r="D985" s="110" t="s">
        <v>210</v>
      </c>
      <c r="E985" s="104">
        <v>0.0</v>
      </c>
      <c r="F985" s="104">
        <v>35.0</v>
      </c>
      <c r="G985" s="110" t="s">
        <v>238</v>
      </c>
      <c r="H985" s="112">
        <v>45856.0</v>
      </c>
      <c r="I985" s="110" t="s">
        <v>1901</v>
      </c>
      <c r="J985" s="104">
        <v>0.0</v>
      </c>
      <c r="K985" s="110" t="s">
        <v>2438</v>
      </c>
      <c r="L985" s="110" t="s">
        <v>2439</v>
      </c>
    </row>
    <row r="986">
      <c r="A986" s="110" t="s">
        <v>1903</v>
      </c>
      <c r="B986" s="104">
        <v>0.0</v>
      </c>
      <c r="C986" s="110" t="s">
        <v>562</v>
      </c>
      <c r="D986" s="110" t="s">
        <v>210</v>
      </c>
      <c r="E986" s="104">
        <v>0.0</v>
      </c>
      <c r="F986" s="104">
        <v>9.0</v>
      </c>
      <c r="G986" s="110" t="s">
        <v>238</v>
      </c>
      <c r="H986" s="112">
        <v>45855.0</v>
      </c>
      <c r="I986" s="110" t="s">
        <v>1903</v>
      </c>
      <c r="J986" s="104">
        <v>0.0</v>
      </c>
      <c r="K986" s="110" t="s">
        <v>2440</v>
      </c>
      <c r="L986" s="110" t="s">
        <v>2441</v>
      </c>
    </row>
    <row r="987">
      <c r="A987" s="110" t="s">
        <v>1905</v>
      </c>
      <c r="B987" s="104">
        <v>0.0</v>
      </c>
      <c r="C987" s="110" t="s">
        <v>2442</v>
      </c>
      <c r="D987" s="110" t="s">
        <v>201</v>
      </c>
      <c r="E987" s="104">
        <v>25.0</v>
      </c>
      <c r="F987" s="104">
        <v>11.7</v>
      </c>
      <c r="G987" s="110" t="s">
        <v>2243</v>
      </c>
      <c r="H987" s="112">
        <v>45992.0</v>
      </c>
      <c r="I987" s="110" t="s">
        <v>2443</v>
      </c>
      <c r="J987" s="104">
        <v>0.0</v>
      </c>
      <c r="K987" s="110" t="s">
        <v>2444</v>
      </c>
      <c r="L987" s="110" t="s">
        <v>2445</v>
      </c>
    </row>
    <row r="988">
      <c r="A988" s="110" t="s">
        <v>1907</v>
      </c>
      <c r="B988" s="104">
        <v>0.0</v>
      </c>
      <c r="C988" s="110" t="s">
        <v>2446</v>
      </c>
      <c r="D988" s="110" t="s">
        <v>217</v>
      </c>
      <c r="E988" s="104">
        <v>0.0</v>
      </c>
      <c r="F988" s="104">
        <v>0.0</v>
      </c>
      <c r="G988" s="110" t="s">
        <v>334</v>
      </c>
      <c r="H988" s="112">
        <v>45951.0</v>
      </c>
      <c r="I988" s="110" t="s">
        <v>2447</v>
      </c>
      <c r="J988" s="104">
        <v>0.0</v>
      </c>
      <c r="K988" s="110" t="s">
        <v>2448</v>
      </c>
      <c r="L988" s="110" t="s">
        <v>2449</v>
      </c>
    </row>
    <row r="989">
      <c r="A989" s="110" t="s">
        <v>1909</v>
      </c>
      <c r="B989" s="110" t="s">
        <v>1909</v>
      </c>
      <c r="C989" s="110" t="s">
        <v>1056</v>
      </c>
      <c r="D989" s="110" t="s">
        <v>217</v>
      </c>
      <c r="E989" s="104">
        <v>0.0</v>
      </c>
      <c r="F989" s="104">
        <v>0.0</v>
      </c>
      <c r="G989" s="104">
        <v>0.0</v>
      </c>
      <c r="H989" s="104" t="s">
        <v>232</v>
      </c>
      <c r="I989" s="104">
        <v>0.0</v>
      </c>
      <c r="J989" s="104">
        <v>0.0</v>
      </c>
      <c r="K989" s="110" t="s">
        <v>2450</v>
      </c>
      <c r="L989" s="110" t="s">
        <v>2451</v>
      </c>
    </row>
    <row r="990">
      <c r="A990" s="110" t="s">
        <v>1910</v>
      </c>
      <c r="B990" s="110" t="s">
        <v>2452</v>
      </c>
      <c r="C990" s="110" t="s">
        <v>720</v>
      </c>
      <c r="D990" s="110" t="s">
        <v>210</v>
      </c>
      <c r="E990" s="104">
        <v>0.0</v>
      </c>
      <c r="F990" s="104">
        <v>73.0</v>
      </c>
      <c r="G990" s="110" t="s">
        <v>721</v>
      </c>
      <c r="H990" s="112">
        <v>45741.0</v>
      </c>
      <c r="I990" s="104">
        <v>0.0</v>
      </c>
      <c r="J990" s="104">
        <v>0.0</v>
      </c>
      <c r="K990" s="110" t="s">
        <v>2453</v>
      </c>
      <c r="L990" s="110" t="s">
        <v>2454</v>
      </c>
    </row>
    <row r="991">
      <c r="A991" s="110" t="s">
        <v>1910</v>
      </c>
      <c r="B991" s="110" t="s">
        <v>2452</v>
      </c>
      <c r="C991" s="110" t="s">
        <v>720</v>
      </c>
      <c r="D991" s="110" t="s">
        <v>210</v>
      </c>
      <c r="E991" s="104">
        <v>0.0</v>
      </c>
      <c r="F991" s="104">
        <v>68.0</v>
      </c>
      <c r="G991" s="110" t="s">
        <v>724</v>
      </c>
      <c r="H991" s="112">
        <v>45741.0</v>
      </c>
      <c r="I991" s="104">
        <v>0.0</v>
      </c>
      <c r="J991" s="104">
        <v>0.0</v>
      </c>
      <c r="K991" s="110" t="s">
        <v>2453</v>
      </c>
      <c r="L991" s="110" t="s">
        <v>2455</v>
      </c>
    </row>
    <row r="992">
      <c r="A992" s="110" t="s">
        <v>1910</v>
      </c>
      <c r="B992" s="110" t="s">
        <v>2452</v>
      </c>
      <c r="C992" s="110" t="s">
        <v>720</v>
      </c>
      <c r="D992" s="110" t="s">
        <v>210</v>
      </c>
      <c r="E992" s="104">
        <v>0.0</v>
      </c>
      <c r="F992" s="104">
        <v>63.0</v>
      </c>
      <c r="G992" s="110" t="s">
        <v>726</v>
      </c>
      <c r="H992" s="112">
        <v>45741.0</v>
      </c>
      <c r="I992" s="104">
        <v>0.0</v>
      </c>
      <c r="J992" s="104">
        <v>0.0</v>
      </c>
      <c r="K992" s="110" t="s">
        <v>2453</v>
      </c>
      <c r="L992" s="110" t="s">
        <v>2456</v>
      </c>
    </row>
    <row r="993">
      <c r="A993" s="110" t="s">
        <v>1910</v>
      </c>
      <c r="B993" s="110" t="s">
        <v>2452</v>
      </c>
      <c r="C993" s="110" t="s">
        <v>720</v>
      </c>
      <c r="D993" s="110" t="s">
        <v>210</v>
      </c>
      <c r="E993" s="104">
        <v>0.0</v>
      </c>
      <c r="F993" s="104">
        <v>60.0</v>
      </c>
      <c r="G993" s="110" t="s">
        <v>728</v>
      </c>
      <c r="H993" s="112">
        <v>45741.0</v>
      </c>
      <c r="I993" s="104">
        <v>0.0</v>
      </c>
      <c r="J993" s="104">
        <v>0.0</v>
      </c>
      <c r="K993" s="110" t="s">
        <v>2453</v>
      </c>
      <c r="L993" s="110" t="s">
        <v>2457</v>
      </c>
    </row>
    <row r="994">
      <c r="A994" s="110" t="s">
        <v>1911</v>
      </c>
      <c r="B994" s="104">
        <v>0.0</v>
      </c>
      <c r="C994" s="110" t="s">
        <v>337</v>
      </c>
      <c r="D994" s="110" t="s">
        <v>217</v>
      </c>
      <c r="E994" s="104">
        <v>0.0</v>
      </c>
      <c r="F994" s="104">
        <v>17.5</v>
      </c>
      <c r="G994" s="110" t="s">
        <v>238</v>
      </c>
      <c r="H994" s="112">
        <v>45603.0</v>
      </c>
      <c r="I994" s="104">
        <v>0.0</v>
      </c>
      <c r="J994" s="104">
        <v>0.0</v>
      </c>
      <c r="K994" s="110" t="s">
        <v>2458</v>
      </c>
      <c r="L994" s="110" t="s">
        <v>2459</v>
      </c>
    </row>
    <row r="995">
      <c r="A995" s="110" t="s">
        <v>1914</v>
      </c>
      <c r="B995" s="104">
        <v>0.0</v>
      </c>
      <c r="C995" s="110" t="s">
        <v>209</v>
      </c>
      <c r="D995" s="110" t="s">
        <v>217</v>
      </c>
      <c r="E995" s="104">
        <v>0.0</v>
      </c>
      <c r="F995" s="104">
        <v>0.0</v>
      </c>
      <c r="G995" s="104">
        <v>0.0</v>
      </c>
      <c r="H995" s="104" t="s">
        <v>232</v>
      </c>
      <c r="I995" s="104">
        <v>0.0</v>
      </c>
      <c r="J995" s="104">
        <v>0.0</v>
      </c>
      <c r="K995" s="110" t="s">
        <v>2460</v>
      </c>
      <c r="L995" s="110" t="s">
        <v>2461</v>
      </c>
    </row>
    <row r="996">
      <c r="A996" s="110" t="s">
        <v>1916</v>
      </c>
      <c r="B996" s="104">
        <v>0.0</v>
      </c>
      <c r="C996" s="110" t="s">
        <v>386</v>
      </c>
      <c r="D996" s="110" t="s">
        <v>210</v>
      </c>
      <c r="E996" s="104">
        <v>0.0</v>
      </c>
      <c r="F996" s="104">
        <v>210.0</v>
      </c>
      <c r="G996" s="110" t="s">
        <v>211</v>
      </c>
      <c r="H996" s="112">
        <v>46003.0</v>
      </c>
      <c r="I996" s="104">
        <v>0.0</v>
      </c>
      <c r="J996" s="104">
        <v>0.0</v>
      </c>
      <c r="K996" s="110" t="s">
        <v>2462</v>
      </c>
      <c r="L996" s="110" t="s">
        <v>2463</v>
      </c>
    </row>
    <row r="997">
      <c r="A997" s="110" t="s">
        <v>1919</v>
      </c>
      <c r="B997" s="104">
        <v>0.0</v>
      </c>
      <c r="C997" s="110" t="s">
        <v>337</v>
      </c>
      <c r="D997" s="110" t="s">
        <v>217</v>
      </c>
      <c r="E997" s="104">
        <v>0.0</v>
      </c>
      <c r="F997" s="104">
        <v>250.0</v>
      </c>
      <c r="G997" s="110" t="s">
        <v>218</v>
      </c>
      <c r="H997" s="112">
        <v>45638.0</v>
      </c>
      <c r="I997" s="104">
        <v>0.0</v>
      </c>
      <c r="J997" s="104">
        <v>0.0</v>
      </c>
      <c r="K997" s="110" t="s">
        <v>2464</v>
      </c>
      <c r="L997" s="110" t="s">
        <v>2465</v>
      </c>
    </row>
    <row r="998">
      <c r="A998" s="110" t="s">
        <v>1920</v>
      </c>
      <c r="B998" s="104">
        <v>0.0</v>
      </c>
      <c r="C998" s="110" t="s">
        <v>386</v>
      </c>
      <c r="D998" s="110" t="s">
        <v>210</v>
      </c>
      <c r="E998" s="104">
        <v>0.0</v>
      </c>
      <c r="F998" s="104">
        <v>428.0</v>
      </c>
      <c r="G998" s="110" t="s">
        <v>211</v>
      </c>
      <c r="H998" s="112">
        <v>46003.0</v>
      </c>
      <c r="I998" s="104">
        <v>0.0</v>
      </c>
      <c r="J998" s="104">
        <v>0.0</v>
      </c>
      <c r="K998" s="110" t="s">
        <v>2466</v>
      </c>
      <c r="L998" s="110" t="s">
        <v>2467</v>
      </c>
    </row>
    <row r="999">
      <c r="A999" s="110" t="s">
        <v>1921</v>
      </c>
      <c r="B999" s="104">
        <v>0.0</v>
      </c>
      <c r="C999" s="110" t="s">
        <v>386</v>
      </c>
      <c r="D999" s="110" t="s">
        <v>210</v>
      </c>
      <c r="E999" s="104">
        <v>0.0</v>
      </c>
      <c r="F999" s="104">
        <v>63.0</v>
      </c>
      <c r="G999" s="110" t="s">
        <v>345</v>
      </c>
      <c r="H999" s="112">
        <v>45982.0</v>
      </c>
      <c r="I999" s="110" t="s">
        <v>1921</v>
      </c>
      <c r="J999" s="104">
        <v>0.0</v>
      </c>
      <c r="K999" s="110" t="s">
        <v>2468</v>
      </c>
      <c r="L999" s="110" t="s">
        <v>2469</v>
      </c>
    </row>
    <row r="1000">
      <c r="A1000" s="110" t="s">
        <v>1922</v>
      </c>
      <c r="B1000" s="104">
        <v>0.0</v>
      </c>
      <c r="C1000" s="110" t="s">
        <v>331</v>
      </c>
      <c r="D1000" s="110" t="s">
        <v>210</v>
      </c>
      <c r="E1000" s="104">
        <v>0.0</v>
      </c>
      <c r="F1000" s="104">
        <v>32.0</v>
      </c>
      <c r="G1000" s="110" t="s">
        <v>540</v>
      </c>
      <c r="H1000" s="112">
        <v>45982.0</v>
      </c>
      <c r="I1000" s="110" t="s">
        <v>1922</v>
      </c>
      <c r="J1000" s="104">
        <v>0.0</v>
      </c>
      <c r="K1000" s="110" t="s">
        <v>2470</v>
      </c>
      <c r="L1000" s="110" t="s">
        <v>2471</v>
      </c>
    </row>
    <row r="1001">
      <c r="A1001" s="110" t="s">
        <v>1924</v>
      </c>
      <c r="B1001" s="104">
        <v>0.0</v>
      </c>
      <c r="C1001" s="110" t="s">
        <v>551</v>
      </c>
      <c r="D1001" s="110" t="s">
        <v>552</v>
      </c>
      <c r="E1001" s="104">
        <v>0.0</v>
      </c>
      <c r="F1001" s="104">
        <v>39.25</v>
      </c>
      <c r="G1001" s="110" t="s">
        <v>238</v>
      </c>
      <c r="H1001" s="112">
        <v>45681.0</v>
      </c>
      <c r="I1001" s="104">
        <v>0.0</v>
      </c>
      <c r="J1001" s="104">
        <v>0.0</v>
      </c>
      <c r="K1001" s="110" t="s">
        <v>2472</v>
      </c>
      <c r="L1001" s="110" t="s">
        <v>2473</v>
      </c>
    </row>
    <row r="1002">
      <c r="A1002" s="110" t="s">
        <v>1926</v>
      </c>
      <c r="B1002" s="104">
        <v>0.0</v>
      </c>
      <c r="C1002" s="110" t="s">
        <v>551</v>
      </c>
      <c r="D1002" s="110" t="s">
        <v>552</v>
      </c>
      <c r="E1002" s="104">
        <v>0.0</v>
      </c>
      <c r="F1002" s="104">
        <v>42.56</v>
      </c>
      <c r="G1002" s="110" t="s">
        <v>238</v>
      </c>
      <c r="H1002" s="112">
        <v>45720.0</v>
      </c>
      <c r="I1002" s="110" t="s">
        <v>1926</v>
      </c>
      <c r="J1002" s="104">
        <v>0.0</v>
      </c>
      <c r="K1002" s="110" t="s">
        <v>2474</v>
      </c>
      <c r="L1002" s="110" t="s">
        <v>2475</v>
      </c>
    </row>
    <row r="1003">
      <c r="A1003" s="110" t="s">
        <v>1928</v>
      </c>
      <c r="B1003" s="104">
        <v>0.0</v>
      </c>
      <c r="C1003" s="110" t="s">
        <v>551</v>
      </c>
      <c r="D1003" s="110" t="s">
        <v>552</v>
      </c>
      <c r="E1003" s="104">
        <v>0.0</v>
      </c>
      <c r="F1003" s="104">
        <v>39.92</v>
      </c>
      <c r="G1003" s="110" t="s">
        <v>238</v>
      </c>
      <c r="H1003" s="112">
        <v>45713.0</v>
      </c>
      <c r="I1003" s="104">
        <v>0.0</v>
      </c>
      <c r="J1003" s="104">
        <v>0.0</v>
      </c>
      <c r="K1003" s="110" t="s">
        <v>2476</v>
      </c>
      <c r="L1003" s="110" t="s">
        <v>2477</v>
      </c>
    </row>
    <row r="1004">
      <c r="A1004" s="110" t="s">
        <v>1931</v>
      </c>
      <c r="B1004" s="110" t="s">
        <v>2478</v>
      </c>
      <c r="C1004" s="110" t="s">
        <v>261</v>
      </c>
      <c r="D1004" s="110" t="s">
        <v>210</v>
      </c>
      <c r="E1004" s="104">
        <v>0.0</v>
      </c>
      <c r="F1004" s="104">
        <v>150.0</v>
      </c>
      <c r="G1004" s="110" t="s">
        <v>540</v>
      </c>
      <c r="H1004" s="112">
        <v>45746.0</v>
      </c>
      <c r="I1004" s="104">
        <v>0.0</v>
      </c>
      <c r="J1004" s="104">
        <v>0.0</v>
      </c>
      <c r="K1004" s="110" t="s">
        <v>2479</v>
      </c>
      <c r="L1004" s="110" t="s">
        <v>2480</v>
      </c>
    </row>
    <row r="1005">
      <c r="A1005" s="110" t="s">
        <v>1933</v>
      </c>
      <c r="B1005" s="104">
        <v>0.0</v>
      </c>
      <c r="C1005" s="110" t="s">
        <v>331</v>
      </c>
      <c r="D1005" s="104">
        <v>0.0</v>
      </c>
      <c r="E1005" s="104">
        <v>0.0</v>
      </c>
      <c r="F1005" s="104">
        <v>19.0</v>
      </c>
      <c r="G1005" s="110" t="s">
        <v>218</v>
      </c>
      <c r="H1005" s="112">
        <v>45884.0</v>
      </c>
      <c r="I1005" s="110" t="s">
        <v>1933</v>
      </c>
      <c r="J1005" s="104">
        <v>0.0</v>
      </c>
      <c r="K1005" s="110" t="s">
        <v>2481</v>
      </c>
      <c r="L1005" s="110" t="s">
        <v>2482</v>
      </c>
    </row>
    <row r="1006">
      <c r="A1006" s="110" t="s">
        <v>1934</v>
      </c>
      <c r="B1006" s="104">
        <v>0.0</v>
      </c>
      <c r="C1006" s="110" t="s">
        <v>209</v>
      </c>
      <c r="D1006" s="110" t="s">
        <v>217</v>
      </c>
      <c r="E1006" s="104">
        <v>0.0</v>
      </c>
      <c r="F1006" s="104">
        <v>0.0</v>
      </c>
      <c r="G1006" s="104">
        <v>0.0</v>
      </c>
      <c r="H1006" s="104" t="s">
        <v>232</v>
      </c>
      <c r="I1006" s="104">
        <v>0.0</v>
      </c>
      <c r="J1006" s="104">
        <v>0.0</v>
      </c>
      <c r="K1006" s="110" t="s">
        <v>2483</v>
      </c>
      <c r="L1006" s="110" t="s">
        <v>2484</v>
      </c>
    </row>
    <row r="1007">
      <c r="A1007" s="110" t="s">
        <v>1936</v>
      </c>
      <c r="B1007" s="104">
        <v>0.0</v>
      </c>
      <c r="C1007" s="110" t="s">
        <v>209</v>
      </c>
      <c r="D1007" s="110" t="s">
        <v>217</v>
      </c>
      <c r="E1007" s="104">
        <v>0.0</v>
      </c>
      <c r="F1007" s="104">
        <v>0.0</v>
      </c>
      <c r="G1007" s="104">
        <v>0.0</v>
      </c>
      <c r="H1007" s="104" t="s">
        <v>232</v>
      </c>
      <c r="I1007" s="104">
        <v>0.0</v>
      </c>
      <c r="J1007" s="104">
        <v>0.0</v>
      </c>
      <c r="K1007" s="110" t="s">
        <v>2485</v>
      </c>
      <c r="L1007" s="110" t="s">
        <v>2486</v>
      </c>
    </row>
    <row r="1008">
      <c r="A1008" s="110" t="s">
        <v>1937</v>
      </c>
      <c r="B1008" s="104">
        <v>0.0</v>
      </c>
      <c r="C1008" s="110" t="s">
        <v>562</v>
      </c>
      <c r="D1008" s="110" t="s">
        <v>544</v>
      </c>
      <c r="E1008" s="104">
        <v>0.0</v>
      </c>
      <c r="F1008" s="104">
        <v>18.5</v>
      </c>
      <c r="G1008" s="110" t="s">
        <v>238</v>
      </c>
      <c r="H1008" s="112">
        <v>45887.0</v>
      </c>
      <c r="I1008" s="110" t="s">
        <v>1937</v>
      </c>
      <c r="J1008" s="104">
        <v>0.0</v>
      </c>
      <c r="K1008" s="110" t="s">
        <v>2487</v>
      </c>
      <c r="L1008" s="110" t="s">
        <v>2488</v>
      </c>
    </row>
    <row r="1009">
      <c r="A1009" s="110" t="s">
        <v>1940</v>
      </c>
      <c r="B1009" s="110" t="s">
        <v>2489</v>
      </c>
      <c r="C1009" s="110" t="s">
        <v>720</v>
      </c>
      <c r="D1009" s="110" t="s">
        <v>210</v>
      </c>
      <c r="E1009" s="104">
        <v>0.0</v>
      </c>
      <c r="F1009" s="104">
        <v>44.0</v>
      </c>
      <c r="G1009" s="110" t="s">
        <v>721</v>
      </c>
      <c r="H1009" s="112">
        <v>45741.0</v>
      </c>
      <c r="I1009" s="104">
        <v>0.0</v>
      </c>
      <c r="J1009" s="104">
        <v>0.0</v>
      </c>
      <c r="K1009" s="110" t="s">
        <v>2490</v>
      </c>
      <c r="L1009" s="110" t="s">
        <v>2491</v>
      </c>
    </row>
    <row r="1010">
      <c r="A1010" s="110" t="s">
        <v>1940</v>
      </c>
      <c r="B1010" s="110" t="s">
        <v>2489</v>
      </c>
      <c r="C1010" s="110" t="s">
        <v>720</v>
      </c>
      <c r="D1010" s="110" t="s">
        <v>210</v>
      </c>
      <c r="E1010" s="104">
        <v>0.0</v>
      </c>
      <c r="F1010" s="104">
        <v>41.0</v>
      </c>
      <c r="G1010" s="110" t="s">
        <v>724</v>
      </c>
      <c r="H1010" s="112">
        <v>45741.0</v>
      </c>
      <c r="I1010" s="104">
        <v>0.0</v>
      </c>
      <c r="J1010" s="104">
        <v>0.0</v>
      </c>
      <c r="K1010" s="110" t="s">
        <v>2490</v>
      </c>
      <c r="L1010" s="110" t="s">
        <v>2492</v>
      </c>
    </row>
    <row r="1011">
      <c r="A1011" s="110" t="s">
        <v>1940</v>
      </c>
      <c r="B1011" s="110" t="s">
        <v>2489</v>
      </c>
      <c r="C1011" s="110" t="s">
        <v>720</v>
      </c>
      <c r="D1011" s="110" t="s">
        <v>210</v>
      </c>
      <c r="E1011" s="104">
        <v>0.0</v>
      </c>
      <c r="F1011" s="104">
        <v>37.0</v>
      </c>
      <c r="G1011" s="110" t="s">
        <v>726</v>
      </c>
      <c r="H1011" s="112">
        <v>45741.0</v>
      </c>
      <c r="I1011" s="104">
        <v>0.0</v>
      </c>
      <c r="J1011" s="104">
        <v>0.0</v>
      </c>
      <c r="K1011" s="110" t="s">
        <v>2490</v>
      </c>
      <c r="L1011" s="110" t="s">
        <v>2493</v>
      </c>
    </row>
    <row r="1012">
      <c r="A1012" s="110" t="s">
        <v>1940</v>
      </c>
      <c r="B1012" s="110" t="s">
        <v>2489</v>
      </c>
      <c r="C1012" s="110" t="s">
        <v>720</v>
      </c>
      <c r="D1012" s="110" t="s">
        <v>210</v>
      </c>
      <c r="E1012" s="104">
        <v>0.0</v>
      </c>
      <c r="F1012" s="104">
        <v>36.0</v>
      </c>
      <c r="G1012" s="110" t="s">
        <v>728</v>
      </c>
      <c r="H1012" s="112">
        <v>45741.0</v>
      </c>
      <c r="I1012" s="104">
        <v>0.0</v>
      </c>
      <c r="J1012" s="104">
        <v>0.0</v>
      </c>
      <c r="K1012" s="110" t="s">
        <v>2490</v>
      </c>
      <c r="L1012" s="110" t="s">
        <v>2494</v>
      </c>
    </row>
    <row r="1013">
      <c r="A1013" s="110" t="s">
        <v>1943</v>
      </c>
      <c r="B1013" s="104">
        <v>0.0</v>
      </c>
      <c r="C1013" s="110" t="s">
        <v>209</v>
      </c>
      <c r="D1013" s="110" t="s">
        <v>322</v>
      </c>
      <c r="E1013" s="104">
        <v>24.5</v>
      </c>
      <c r="F1013" s="104">
        <v>24.5</v>
      </c>
      <c r="G1013" s="110" t="s">
        <v>238</v>
      </c>
      <c r="H1013" s="112">
        <v>45987.0</v>
      </c>
      <c r="I1013" s="110" t="s">
        <v>1943</v>
      </c>
      <c r="J1013" s="104">
        <v>0.0</v>
      </c>
      <c r="K1013" s="110" t="s">
        <v>2495</v>
      </c>
      <c r="L1013" s="110" t="s">
        <v>2496</v>
      </c>
    </row>
    <row r="1014">
      <c r="A1014" s="110" t="s">
        <v>1945</v>
      </c>
      <c r="B1014" s="104">
        <v>0.0</v>
      </c>
      <c r="C1014" s="110" t="s">
        <v>273</v>
      </c>
      <c r="D1014" s="110" t="s">
        <v>322</v>
      </c>
      <c r="E1014" s="104">
        <v>0.0</v>
      </c>
      <c r="F1014" s="104">
        <v>10.0</v>
      </c>
      <c r="G1014" s="104">
        <v>0.0</v>
      </c>
      <c r="H1014" s="112">
        <v>45714.0</v>
      </c>
      <c r="I1014" s="104">
        <v>0.0</v>
      </c>
      <c r="J1014" s="104">
        <v>0.0</v>
      </c>
      <c r="K1014" s="110" t="s">
        <v>2497</v>
      </c>
      <c r="L1014" s="110" t="s">
        <v>2498</v>
      </c>
    </row>
    <row r="1015">
      <c r="A1015" s="110" t="s">
        <v>1945</v>
      </c>
      <c r="B1015" s="104">
        <v>0.0</v>
      </c>
      <c r="C1015" s="110" t="s">
        <v>261</v>
      </c>
      <c r="D1015" s="104">
        <v>0.0</v>
      </c>
      <c r="E1015" s="104">
        <v>0.0</v>
      </c>
      <c r="F1015" s="104">
        <v>11.03</v>
      </c>
      <c r="G1015" s="110" t="s">
        <v>334</v>
      </c>
      <c r="H1015" s="112">
        <v>45708.0</v>
      </c>
      <c r="I1015" s="110" t="s">
        <v>2499</v>
      </c>
      <c r="J1015" s="104">
        <v>0.0</v>
      </c>
      <c r="K1015" s="110" t="s">
        <v>2500</v>
      </c>
      <c r="L1015" s="110" t="s">
        <v>2501</v>
      </c>
    </row>
    <row r="1016">
      <c r="A1016" s="110" t="s">
        <v>1948</v>
      </c>
      <c r="B1016" s="104">
        <v>0.0</v>
      </c>
      <c r="C1016" s="110" t="s">
        <v>261</v>
      </c>
      <c r="D1016" s="110" t="s">
        <v>322</v>
      </c>
      <c r="E1016" s="104">
        <v>0.0</v>
      </c>
      <c r="F1016" s="104">
        <v>5.0</v>
      </c>
      <c r="G1016" s="110" t="s">
        <v>851</v>
      </c>
      <c r="H1016" s="112">
        <v>45846.0</v>
      </c>
      <c r="I1016" s="110" t="s">
        <v>1945</v>
      </c>
      <c r="J1016" s="104">
        <v>0.0</v>
      </c>
      <c r="K1016" s="110" t="s">
        <v>2502</v>
      </c>
      <c r="L1016" s="110" t="s">
        <v>2503</v>
      </c>
    </row>
    <row r="1017">
      <c r="A1017" s="110" t="s">
        <v>1951</v>
      </c>
      <c r="B1017" s="104">
        <v>0.0</v>
      </c>
      <c r="C1017" s="110" t="s">
        <v>273</v>
      </c>
      <c r="D1017" s="110" t="s">
        <v>322</v>
      </c>
      <c r="E1017" s="104">
        <v>0.0</v>
      </c>
      <c r="F1017" s="104">
        <v>5.27</v>
      </c>
      <c r="G1017" s="104">
        <v>0.0</v>
      </c>
      <c r="H1017" s="112">
        <v>45714.0</v>
      </c>
      <c r="I1017" s="110" t="s">
        <v>2504</v>
      </c>
      <c r="J1017" s="104">
        <v>0.0</v>
      </c>
      <c r="K1017" s="110" t="s">
        <v>2505</v>
      </c>
      <c r="L1017" s="110" t="s">
        <v>2506</v>
      </c>
    </row>
    <row r="1018">
      <c r="A1018" s="110" t="s">
        <v>1953</v>
      </c>
      <c r="B1018" s="104">
        <v>0.0</v>
      </c>
      <c r="C1018" s="110" t="s">
        <v>261</v>
      </c>
      <c r="D1018" s="104">
        <v>0.0</v>
      </c>
      <c r="E1018" s="104">
        <v>0.0</v>
      </c>
      <c r="F1018" s="104">
        <v>8.38</v>
      </c>
      <c r="G1018" s="110" t="s">
        <v>334</v>
      </c>
      <c r="H1018" s="112">
        <v>45708.0</v>
      </c>
      <c r="I1018" s="104">
        <v>0.0</v>
      </c>
      <c r="J1018" s="104">
        <v>0.0</v>
      </c>
      <c r="K1018" s="110" t="s">
        <v>2507</v>
      </c>
      <c r="L1018" s="110" t="s">
        <v>2508</v>
      </c>
    </row>
    <row r="1019">
      <c r="A1019" s="110" t="s">
        <v>1958</v>
      </c>
      <c r="B1019" s="104">
        <v>0.0</v>
      </c>
      <c r="C1019" s="110" t="s">
        <v>273</v>
      </c>
      <c r="D1019" s="110" t="s">
        <v>322</v>
      </c>
      <c r="E1019" s="104">
        <v>0.0</v>
      </c>
      <c r="F1019" s="104">
        <v>19.18</v>
      </c>
      <c r="G1019" s="110" t="s">
        <v>851</v>
      </c>
      <c r="H1019" s="112">
        <v>45848.0</v>
      </c>
      <c r="I1019" s="110" t="s">
        <v>1951</v>
      </c>
      <c r="J1019" s="104">
        <v>0.0</v>
      </c>
      <c r="K1019" s="110" t="s">
        <v>2509</v>
      </c>
      <c r="L1019" s="110" t="s">
        <v>2510</v>
      </c>
    </row>
    <row r="1020">
      <c r="A1020" s="110" t="s">
        <v>1962</v>
      </c>
      <c r="B1020" s="104">
        <v>0.0</v>
      </c>
      <c r="C1020" s="110" t="s">
        <v>273</v>
      </c>
      <c r="D1020" s="110" t="s">
        <v>322</v>
      </c>
      <c r="E1020" s="104">
        <v>0.0</v>
      </c>
      <c r="F1020" s="104">
        <v>17.45</v>
      </c>
      <c r="G1020" s="110" t="s">
        <v>2511</v>
      </c>
      <c r="H1020" s="112">
        <v>45848.0</v>
      </c>
      <c r="I1020" s="110" t="s">
        <v>1951</v>
      </c>
      <c r="J1020" s="104">
        <v>0.0</v>
      </c>
      <c r="K1020" s="110" t="s">
        <v>2512</v>
      </c>
      <c r="L1020" s="110" t="s">
        <v>2513</v>
      </c>
    </row>
    <row r="1021">
      <c r="A1021" s="110" t="s">
        <v>1965</v>
      </c>
      <c r="B1021" s="104">
        <v>0.0</v>
      </c>
      <c r="C1021" s="110" t="s">
        <v>200</v>
      </c>
      <c r="D1021" s="110" t="s">
        <v>322</v>
      </c>
      <c r="E1021" s="104">
        <v>0.0</v>
      </c>
      <c r="F1021" s="104">
        <v>3.99</v>
      </c>
      <c r="G1021" s="104">
        <v>0.0</v>
      </c>
      <c r="H1021" s="112">
        <v>44764.0</v>
      </c>
      <c r="I1021" s="104">
        <v>0.0</v>
      </c>
      <c r="J1021" s="104">
        <v>0.0</v>
      </c>
      <c r="K1021" s="110" t="s">
        <v>2514</v>
      </c>
      <c r="L1021" s="110" t="s">
        <v>2515</v>
      </c>
    </row>
    <row r="1022">
      <c r="A1022" s="110" t="s">
        <v>1968</v>
      </c>
      <c r="B1022" s="104">
        <v>0.0</v>
      </c>
      <c r="C1022" s="110" t="s">
        <v>261</v>
      </c>
      <c r="D1022" s="110" t="s">
        <v>322</v>
      </c>
      <c r="E1022" s="104">
        <v>0.0</v>
      </c>
      <c r="F1022" s="104">
        <v>5.75</v>
      </c>
      <c r="G1022" s="110" t="s">
        <v>2516</v>
      </c>
      <c r="H1022" s="112">
        <v>45904.0</v>
      </c>
      <c r="I1022" s="110" t="s">
        <v>2517</v>
      </c>
      <c r="J1022" s="104">
        <v>0.0</v>
      </c>
      <c r="K1022" s="110" t="s">
        <v>2518</v>
      </c>
      <c r="L1022" s="110" t="s">
        <v>2519</v>
      </c>
    </row>
    <row r="1023">
      <c r="A1023" s="110" t="s">
        <v>1968</v>
      </c>
      <c r="B1023" s="104">
        <v>0.0</v>
      </c>
      <c r="C1023" s="110" t="s">
        <v>261</v>
      </c>
      <c r="D1023" s="110" t="s">
        <v>322</v>
      </c>
      <c r="E1023" s="104">
        <v>0.0</v>
      </c>
      <c r="F1023" s="104">
        <v>5.25</v>
      </c>
      <c r="G1023" s="104">
        <v>275.0</v>
      </c>
      <c r="H1023" s="112">
        <v>45807.0</v>
      </c>
      <c r="I1023" s="110" t="s">
        <v>2517</v>
      </c>
      <c r="J1023" s="104">
        <v>0.0</v>
      </c>
      <c r="K1023" s="110" t="s">
        <v>2518</v>
      </c>
      <c r="L1023" s="110" t="s">
        <v>2520</v>
      </c>
    </row>
    <row r="1024">
      <c r="A1024" s="110" t="s">
        <v>1970</v>
      </c>
      <c r="B1024" s="104">
        <v>0.0</v>
      </c>
      <c r="C1024" s="110" t="s">
        <v>209</v>
      </c>
      <c r="D1024" s="110" t="s">
        <v>322</v>
      </c>
      <c r="E1024" s="104">
        <v>7.0</v>
      </c>
      <c r="F1024" s="104">
        <v>7.0</v>
      </c>
      <c r="G1024" s="110" t="s">
        <v>238</v>
      </c>
      <c r="H1024" s="112">
        <v>45987.0</v>
      </c>
      <c r="I1024" s="110" t="s">
        <v>1970</v>
      </c>
      <c r="J1024" s="104">
        <v>0.0</v>
      </c>
      <c r="K1024" s="110" t="s">
        <v>2521</v>
      </c>
      <c r="L1024" s="110" t="s">
        <v>2522</v>
      </c>
    </row>
    <row r="1025">
      <c r="A1025" s="110" t="s">
        <v>1973</v>
      </c>
      <c r="B1025" s="110" t="s">
        <v>690</v>
      </c>
      <c r="C1025" s="110" t="s">
        <v>261</v>
      </c>
      <c r="D1025" s="110" t="s">
        <v>322</v>
      </c>
      <c r="E1025" s="104">
        <v>0.0</v>
      </c>
      <c r="F1025" s="104">
        <v>11.65</v>
      </c>
      <c r="G1025" s="110" t="s">
        <v>1214</v>
      </c>
      <c r="H1025" s="112">
        <v>45874.0</v>
      </c>
      <c r="I1025" s="110" t="s">
        <v>1973</v>
      </c>
      <c r="J1025" s="104">
        <v>0.0</v>
      </c>
      <c r="K1025" s="110" t="s">
        <v>2523</v>
      </c>
      <c r="L1025" s="110" t="s">
        <v>2524</v>
      </c>
    </row>
    <row r="1026">
      <c r="A1026" s="110" t="s">
        <v>1975</v>
      </c>
      <c r="B1026" s="104">
        <v>0.0</v>
      </c>
      <c r="C1026" s="110" t="s">
        <v>261</v>
      </c>
      <c r="D1026" s="110" t="s">
        <v>322</v>
      </c>
      <c r="E1026" s="104">
        <v>0.0</v>
      </c>
      <c r="F1026" s="104">
        <v>8.71</v>
      </c>
      <c r="G1026" s="110" t="s">
        <v>2525</v>
      </c>
      <c r="H1026" s="112">
        <v>45806.0</v>
      </c>
      <c r="I1026" s="104">
        <v>0.0</v>
      </c>
      <c r="J1026" s="104">
        <v>0.0</v>
      </c>
      <c r="K1026" s="110" t="s">
        <v>2526</v>
      </c>
      <c r="L1026" s="110" t="s">
        <v>2527</v>
      </c>
    </row>
    <row r="1027">
      <c r="A1027" s="110" t="s">
        <v>1975</v>
      </c>
      <c r="B1027" s="104">
        <v>0.0</v>
      </c>
      <c r="C1027" s="110" t="s">
        <v>261</v>
      </c>
      <c r="D1027" s="110" t="s">
        <v>322</v>
      </c>
      <c r="E1027" s="104">
        <v>0.0</v>
      </c>
      <c r="F1027" s="104">
        <v>9.46</v>
      </c>
      <c r="G1027" s="110" t="s">
        <v>2528</v>
      </c>
      <c r="H1027" s="112">
        <v>45806.0</v>
      </c>
      <c r="I1027" s="104">
        <v>0.0</v>
      </c>
      <c r="J1027" s="104">
        <v>0.0</v>
      </c>
      <c r="K1027" s="110" t="s">
        <v>2526</v>
      </c>
      <c r="L1027" s="110" t="s">
        <v>2529</v>
      </c>
    </row>
    <row r="1028">
      <c r="A1028" s="110" t="s">
        <v>1975</v>
      </c>
      <c r="B1028" s="104">
        <v>0.0</v>
      </c>
      <c r="C1028" s="110" t="s">
        <v>261</v>
      </c>
      <c r="D1028" s="110" t="s">
        <v>322</v>
      </c>
      <c r="E1028" s="104">
        <v>0.0</v>
      </c>
      <c r="F1028" s="104">
        <v>8.16</v>
      </c>
      <c r="G1028" s="110" t="s">
        <v>2530</v>
      </c>
      <c r="H1028" s="112">
        <v>45806.0</v>
      </c>
      <c r="I1028" s="104">
        <v>0.0</v>
      </c>
      <c r="J1028" s="104">
        <v>0.0</v>
      </c>
      <c r="K1028" s="110" t="s">
        <v>2526</v>
      </c>
      <c r="L1028" s="110" t="s">
        <v>2531</v>
      </c>
    </row>
    <row r="1029">
      <c r="A1029" s="110" t="s">
        <v>1977</v>
      </c>
      <c r="B1029" s="104">
        <v>0.0</v>
      </c>
      <c r="C1029" s="110" t="s">
        <v>261</v>
      </c>
      <c r="D1029" s="110" t="s">
        <v>322</v>
      </c>
      <c r="E1029" s="104">
        <v>0.0</v>
      </c>
      <c r="F1029" s="104">
        <v>5.1</v>
      </c>
      <c r="G1029" s="110" t="s">
        <v>851</v>
      </c>
      <c r="H1029" s="112">
        <v>45846.0</v>
      </c>
      <c r="I1029" s="110" t="s">
        <v>2532</v>
      </c>
      <c r="J1029" s="104">
        <v>0.0</v>
      </c>
      <c r="K1029" s="110" t="s">
        <v>2533</v>
      </c>
      <c r="L1029" s="110" t="s">
        <v>2534</v>
      </c>
    </row>
    <row r="1030">
      <c r="A1030" s="110" t="s">
        <v>1979</v>
      </c>
      <c r="B1030" s="110" t="s">
        <v>2535</v>
      </c>
      <c r="C1030" s="110" t="s">
        <v>261</v>
      </c>
      <c r="D1030" s="110" t="s">
        <v>322</v>
      </c>
      <c r="E1030" s="104">
        <v>0.0</v>
      </c>
      <c r="F1030" s="104">
        <v>0.0</v>
      </c>
      <c r="G1030" s="110" t="s">
        <v>2536</v>
      </c>
      <c r="H1030" s="112">
        <v>44980.0</v>
      </c>
      <c r="I1030" s="104">
        <v>0.0</v>
      </c>
      <c r="J1030" s="104">
        <v>0.0</v>
      </c>
      <c r="K1030" s="110" t="s">
        <v>2537</v>
      </c>
      <c r="L1030" s="110" t="s">
        <v>2538</v>
      </c>
    </row>
    <row r="1031">
      <c r="A1031" s="110" t="s">
        <v>1981</v>
      </c>
      <c r="B1031" s="104">
        <v>0.0</v>
      </c>
      <c r="C1031" s="110" t="s">
        <v>2539</v>
      </c>
      <c r="D1031" s="104">
        <v>0.0</v>
      </c>
      <c r="E1031" s="104">
        <v>0.0</v>
      </c>
      <c r="F1031" s="104">
        <v>18.88</v>
      </c>
      <c r="G1031" s="110" t="s">
        <v>2540</v>
      </c>
      <c r="H1031" s="112">
        <v>45883.0</v>
      </c>
      <c r="I1031" s="110" t="s">
        <v>1981</v>
      </c>
      <c r="J1031" s="104">
        <v>0.0</v>
      </c>
      <c r="K1031" s="110" t="s">
        <v>2541</v>
      </c>
      <c r="L1031" s="110" t="s">
        <v>77</v>
      </c>
    </row>
    <row r="1032">
      <c r="A1032" s="110" t="s">
        <v>1983</v>
      </c>
      <c r="B1032" s="104">
        <v>0.0</v>
      </c>
      <c r="C1032" s="110" t="s">
        <v>221</v>
      </c>
      <c r="D1032" s="110" t="s">
        <v>226</v>
      </c>
      <c r="E1032" s="104">
        <v>0.0</v>
      </c>
      <c r="F1032" s="104">
        <v>2.161</v>
      </c>
      <c r="G1032" s="110" t="s">
        <v>557</v>
      </c>
      <c r="H1032" s="112">
        <v>45966.0</v>
      </c>
      <c r="I1032" s="104">
        <v>0.0</v>
      </c>
      <c r="J1032" s="104">
        <v>0.0</v>
      </c>
      <c r="K1032" s="110" t="s">
        <v>2542</v>
      </c>
      <c r="L1032" s="110" t="s">
        <v>2543</v>
      </c>
    </row>
    <row r="1033">
      <c r="A1033" s="110" t="s">
        <v>1985</v>
      </c>
      <c r="B1033" s="104">
        <v>0.0</v>
      </c>
      <c r="C1033" s="110" t="s">
        <v>317</v>
      </c>
      <c r="D1033" s="110" t="s">
        <v>217</v>
      </c>
      <c r="E1033" s="104">
        <v>0.0</v>
      </c>
      <c r="F1033" s="104">
        <v>900.0</v>
      </c>
      <c r="G1033" s="104">
        <v>0.0</v>
      </c>
      <c r="H1033" s="112">
        <v>45874.0</v>
      </c>
      <c r="I1033" s="104">
        <v>0.0</v>
      </c>
      <c r="J1033" s="104">
        <v>0.0</v>
      </c>
      <c r="K1033" s="110" t="s">
        <v>2544</v>
      </c>
      <c r="L1033" s="110" t="s">
        <v>2545</v>
      </c>
    </row>
    <row r="1034">
      <c r="A1034" s="110" t="s">
        <v>1987</v>
      </c>
      <c r="B1034" s="104">
        <v>0.0</v>
      </c>
      <c r="C1034" s="110" t="s">
        <v>256</v>
      </c>
      <c r="D1034" s="110" t="s">
        <v>612</v>
      </c>
      <c r="E1034" s="104">
        <v>0.0</v>
      </c>
      <c r="F1034" s="104">
        <v>24.45</v>
      </c>
      <c r="G1034" s="110" t="s">
        <v>557</v>
      </c>
      <c r="H1034" s="112">
        <v>45910.0</v>
      </c>
      <c r="I1034" s="110" t="s">
        <v>1987</v>
      </c>
      <c r="J1034" s="104">
        <v>0.0</v>
      </c>
      <c r="K1034" s="110" t="s">
        <v>2546</v>
      </c>
      <c r="L1034" s="110" t="s">
        <v>2547</v>
      </c>
    </row>
    <row r="1035">
      <c r="A1035" s="110" t="s">
        <v>1990</v>
      </c>
      <c r="B1035" s="104">
        <v>0.0</v>
      </c>
      <c r="C1035" s="110" t="s">
        <v>256</v>
      </c>
      <c r="D1035" s="110" t="s">
        <v>612</v>
      </c>
      <c r="E1035" s="104">
        <v>0.0</v>
      </c>
      <c r="F1035" s="104">
        <v>28.95</v>
      </c>
      <c r="G1035" s="110" t="s">
        <v>557</v>
      </c>
      <c r="H1035" s="112">
        <v>45910.0</v>
      </c>
      <c r="I1035" s="110" t="s">
        <v>1990</v>
      </c>
      <c r="J1035" s="104">
        <v>0.0</v>
      </c>
      <c r="K1035" s="110" t="s">
        <v>2548</v>
      </c>
      <c r="L1035" s="110" t="s">
        <v>2549</v>
      </c>
    </row>
    <row r="1036">
      <c r="A1036" s="110" t="s">
        <v>1992</v>
      </c>
      <c r="B1036" s="104">
        <v>0.0</v>
      </c>
      <c r="C1036" s="110" t="s">
        <v>231</v>
      </c>
      <c r="D1036" s="110" t="s">
        <v>217</v>
      </c>
      <c r="E1036" s="104">
        <v>0.0</v>
      </c>
      <c r="F1036" s="104">
        <v>475.0</v>
      </c>
      <c r="G1036" s="110" t="s">
        <v>302</v>
      </c>
      <c r="H1036" s="112">
        <v>45812.0</v>
      </c>
      <c r="I1036" s="110" t="s">
        <v>2550</v>
      </c>
      <c r="J1036" s="104">
        <v>0.0</v>
      </c>
      <c r="K1036" s="110" t="s">
        <v>2551</v>
      </c>
      <c r="L1036" s="110" t="s">
        <v>2552</v>
      </c>
    </row>
    <row r="1037">
      <c r="A1037" s="110" t="s">
        <v>1995</v>
      </c>
      <c r="B1037" s="104">
        <v>0.0</v>
      </c>
      <c r="C1037" s="110" t="s">
        <v>348</v>
      </c>
      <c r="D1037" s="110" t="s">
        <v>217</v>
      </c>
      <c r="E1037" s="104">
        <v>0.0</v>
      </c>
      <c r="F1037" s="104">
        <v>31.5343</v>
      </c>
      <c r="G1037" s="110" t="s">
        <v>2553</v>
      </c>
      <c r="H1037" s="112">
        <v>45812.0</v>
      </c>
      <c r="I1037" s="110" t="s">
        <v>2554</v>
      </c>
      <c r="J1037" s="104">
        <v>0.0</v>
      </c>
      <c r="K1037" s="110" t="s">
        <v>2555</v>
      </c>
      <c r="L1037" s="110" t="s">
        <v>2556</v>
      </c>
    </row>
    <row r="1038">
      <c r="A1038" s="110" t="s">
        <v>1997</v>
      </c>
      <c r="B1038" s="104">
        <v>0.0</v>
      </c>
      <c r="C1038" s="110" t="s">
        <v>2557</v>
      </c>
      <c r="D1038" s="110" t="s">
        <v>210</v>
      </c>
      <c r="E1038" s="104">
        <v>0.0</v>
      </c>
      <c r="F1038" s="104">
        <v>85.94</v>
      </c>
      <c r="G1038" s="104">
        <v>0.0</v>
      </c>
      <c r="H1038" s="112">
        <v>45719.0</v>
      </c>
      <c r="I1038" s="104">
        <v>0.0</v>
      </c>
      <c r="J1038" s="104">
        <v>0.0</v>
      </c>
      <c r="K1038" s="110" t="s">
        <v>2558</v>
      </c>
      <c r="L1038" s="110" t="s">
        <v>2559</v>
      </c>
    </row>
    <row r="1039">
      <c r="A1039" s="110" t="s">
        <v>1999</v>
      </c>
      <c r="B1039" s="104">
        <v>0.0</v>
      </c>
      <c r="C1039" s="110" t="s">
        <v>2557</v>
      </c>
      <c r="D1039" s="110" t="s">
        <v>210</v>
      </c>
      <c r="E1039" s="104">
        <v>0.0</v>
      </c>
      <c r="F1039" s="104">
        <v>195.78</v>
      </c>
      <c r="G1039" s="104">
        <v>0.0</v>
      </c>
      <c r="H1039" s="112">
        <v>45719.0</v>
      </c>
      <c r="I1039" s="104">
        <v>0.0</v>
      </c>
      <c r="J1039" s="104">
        <v>0.0</v>
      </c>
      <c r="K1039" s="110" t="s">
        <v>2560</v>
      </c>
      <c r="L1039" s="110" t="s">
        <v>2561</v>
      </c>
    </row>
    <row r="1040">
      <c r="A1040" s="110" t="s">
        <v>2001</v>
      </c>
      <c r="B1040" s="104">
        <v>0.0</v>
      </c>
      <c r="C1040" s="110" t="s">
        <v>2557</v>
      </c>
      <c r="D1040" s="110" t="s">
        <v>210</v>
      </c>
      <c r="E1040" s="104">
        <v>0.0</v>
      </c>
      <c r="F1040" s="104">
        <v>123.65</v>
      </c>
      <c r="G1040" s="104">
        <v>0.0</v>
      </c>
      <c r="H1040" s="112">
        <v>45719.0</v>
      </c>
      <c r="I1040" s="104">
        <v>0.0</v>
      </c>
      <c r="J1040" s="104">
        <v>0.0</v>
      </c>
      <c r="K1040" s="110" t="s">
        <v>2562</v>
      </c>
      <c r="L1040" s="110" t="s">
        <v>2563</v>
      </c>
    </row>
    <row r="1041">
      <c r="A1041" s="110" t="s">
        <v>2004</v>
      </c>
      <c r="B1041" s="104">
        <v>0.0</v>
      </c>
      <c r="C1041" s="110" t="s">
        <v>231</v>
      </c>
      <c r="D1041" s="110" t="s">
        <v>217</v>
      </c>
      <c r="E1041" s="104">
        <v>0.0</v>
      </c>
      <c r="F1041" s="104">
        <v>625.0</v>
      </c>
      <c r="G1041" s="110" t="s">
        <v>302</v>
      </c>
      <c r="H1041" s="112">
        <v>45987.0</v>
      </c>
      <c r="I1041" s="110" t="s">
        <v>2004</v>
      </c>
      <c r="J1041" s="104">
        <v>0.0</v>
      </c>
      <c r="K1041" s="110" t="s">
        <v>2564</v>
      </c>
      <c r="L1041" s="110" t="s">
        <v>2565</v>
      </c>
    </row>
    <row r="1042">
      <c r="A1042" s="110" t="s">
        <v>2004</v>
      </c>
      <c r="B1042" s="104">
        <v>0.0</v>
      </c>
      <c r="C1042" s="110" t="s">
        <v>231</v>
      </c>
      <c r="D1042" s="110" t="s">
        <v>217</v>
      </c>
      <c r="E1042" s="104">
        <v>0.0</v>
      </c>
      <c r="F1042" s="104">
        <v>590.0</v>
      </c>
      <c r="G1042" s="110" t="s">
        <v>2566</v>
      </c>
      <c r="H1042" s="112">
        <v>45987.0</v>
      </c>
      <c r="I1042" s="110" t="s">
        <v>2004</v>
      </c>
      <c r="J1042" s="104">
        <v>0.0</v>
      </c>
      <c r="K1042" s="110" t="s">
        <v>2564</v>
      </c>
      <c r="L1042" s="110" t="s">
        <v>2567</v>
      </c>
    </row>
    <row r="1043">
      <c r="A1043" s="110" t="s">
        <v>2004</v>
      </c>
      <c r="B1043" s="104">
        <v>0.0</v>
      </c>
      <c r="C1043" s="110" t="s">
        <v>231</v>
      </c>
      <c r="D1043" s="110" t="s">
        <v>217</v>
      </c>
      <c r="E1043" s="104">
        <v>0.0</v>
      </c>
      <c r="F1043" s="104">
        <v>518.0</v>
      </c>
      <c r="G1043" s="110" t="s">
        <v>2568</v>
      </c>
      <c r="H1043" s="112">
        <v>45987.0</v>
      </c>
      <c r="I1043" s="110" t="s">
        <v>2004</v>
      </c>
      <c r="J1043" s="104">
        <v>0.0</v>
      </c>
      <c r="K1043" s="110" t="s">
        <v>2564</v>
      </c>
      <c r="L1043" s="110" t="s">
        <v>2569</v>
      </c>
    </row>
    <row r="1044">
      <c r="A1044" s="110" t="s">
        <v>2006</v>
      </c>
      <c r="B1044" s="104">
        <v>0.0</v>
      </c>
      <c r="C1044" s="110" t="s">
        <v>231</v>
      </c>
      <c r="D1044" s="110" t="s">
        <v>217</v>
      </c>
      <c r="E1044" s="104">
        <v>0.0</v>
      </c>
      <c r="F1044" s="104">
        <v>170.0</v>
      </c>
      <c r="G1044" s="110" t="s">
        <v>302</v>
      </c>
      <c r="H1044" s="112">
        <v>45987.0</v>
      </c>
      <c r="I1044" s="110" t="s">
        <v>2006</v>
      </c>
      <c r="J1044" s="104">
        <v>0.0</v>
      </c>
      <c r="K1044" s="110" t="s">
        <v>2570</v>
      </c>
      <c r="L1044" s="110" t="s">
        <v>2571</v>
      </c>
    </row>
    <row r="1045">
      <c r="A1045" s="110" t="s">
        <v>2006</v>
      </c>
      <c r="B1045" s="104">
        <v>0.0</v>
      </c>
      <c r="C1045" s="110" t="s">
        <v>231</v>
      </c>
      <c r="D1045" s="110" t="s">
        <v>217</v>
      </c>
      <c r="E1045" s="104">
        <v>0.0</v>
      </c>
      <c r="F1045" s="104">
        <v>145.0</v>
      </c>
      <c r="G1045" s="110" t="s">
        <v>2566</v>
      </c>
      <c r="H1045" s="112">
        <v>45987.0</v>
      </c>
      <c r="I1045" s="110" t="s">
        <v>2006</v>
      </c>
      <c r="J1045" s="104">
        <v>0.0</v>
      </c>
      <c r="K1045" s="110" t="s">
        <v>2570</v>
      </c>
      <c r="L1045" s="110" t="s">
        <v>2572</v>
      </c>
    </row>
    <row r="1046">
      <c r="A1046" s="110" t="s">
        <v>2006</v>
      </c>
      <c r="B1046" s="104">
        <v>0.0</v>
      </c>
      <c r="C1046" s="110" t="s">
        <v>231</v>
      </c>
      <c r="D1046" s="110" t="s">
        <v>217</v>
      </c>
      <c r="E1046" s="104">
        <v>0.0</v>
      </c>
      <c r="F1046" s="104">
        <v>125.0</v>
      </c>
      <c r="G1046" s="110" t="s">
        <v>2568</v>
      </c>
      <c r="H1046" s="112">
        <v>45987.0</v>
      </c>
      <c r="I1046" s="110" t="s">
        <v>2006</v>
      </c>
      <c r="J1046" s="104">
        <v>0.0</v>
      </c>
      <c r="K1046" s="110" t="s">
        <v>2570</v>
      </c>
      <c r="L1046" s="110" t="s">
        <v>2573</v>
      </c>
    </row>
    <row r="1047">
      <c r="A1047" s="110" t="s">
        <v>2010</v>
      </c>
      <c r="B1047" s="104">
        <v>0.0</v>
      </c>
      <c r="C1047" s="110" t="s">
        <v>317</v>
      </c>
      <c r="D1047" s="110" t="s">
        <v>210</v>
      </c>
      <c r="E1047" s="104">
        <v>0.0</v>
      </c>
      <c r="F1047" s="104">
        <v>385.0</v>
      </c>
      <c r="G1047" s="104">
        <v>0.0</v>
      </c>
      <c r="H1047" s="112">
        <v>45874.0</v>
      </c>
      <c r="I1047" s="104">
        <v>0.0</v>
      </c>
      <c r="J1047" s="104">
        <v>0.0</v>
      </c>
      <c r="K1047" s="110" t="s">
        <v>2574</v>
      </c>
      <c r="L1047" s="110" t="s">
        <v>2575</v>
      </c>
    </row>
    <row r="1048">
      <c r="A1048" s="110" t="s">
        <v>2013</v>
      </c>
      <c r="B1048" s="104">
        <v>0.0</v>
      </c>
      <c r="C1048" s="110" t="s">
        <v>2576</v>
      </c>
      <c r="D1048" s="110" t="s">
        <v>201</v>
      </c>
      <c r="E1048" s="104">
        <v>0.0</v>
      </c>
      <c r="F1048" s="104">
        <v>12.05</v>
      </c>
      <c r="G1048" s="110" t="s">
        <v>373</v>
      </c>
      <c r="H1048" s="112">
        <v>45868.0</v>
      </c>
      <c r="I1048" s="110" t="s">
        <v>2013</v>
      </c>
      <c r="J1048" s="104">
        <v>0.0</v>
      </c>
      <c r="K1048" s="110" t="s">
        <v>2577</v>
      </c>
      <c r="L1048" s="110" t="s">
        <v>2578</v>
      </c>
    </row>
    <row r="1049">
      <c r="A1049" s="110" t="s">
        <v>2015</v>
      </c>
      <c r="B1049" s="104">
        <v>0.0</v>
      </c>
      <c r="C1049" s="110" t="s">
        <v>386</v>
      </c>
      <c r="D1049" s="110" t="s">
        <v>217</v>
      </c>
      <c r="E1049" s="104">
        <v>0.0</v>
      </c>
      <c r="F1049" s="104">
        <v>179.0</v>
      </c>
      <c r="G1049" s="110" t="s">
        <v>302</v>
      </c>
      <c r="H1049" s="112">
        <v>45883.0</v>
      </c>
      <c r="I1049" s="110" t="s">
        <v>2015</v>
      </c>
      <c r="J1049" s="104">
        <v>0.0</v>
      </c>
      <c r="K1049" s="110" t="s">
        <v>2579</v>
      </c>
      <c r="L1049" s="110" t="s">
        <v>2580</v>
      </c>
    </row>
    <row r="1050">
      <c r="A1050" s="110" t="s">
        <v>2015</v>
      </c>
      <c r="B1050" s="104">
        <v>0.0</v>
      </c>
      <c r="C1050" s="110" t="s">
        <v>209</v>
      </c>
      <c r="D1050" s="110" t="s">
        <v>217</v>
      </c>
      <c r="E1050" s="104">
        <v>0.0</v>
      </c>
      <c r="F1050" s="104">
        <v>178.0</v>
      </c>
      <c r="G1050" s="110" t="s">
        <v>238</v>
      </c>
      <c r="H1050" s="112">
        <v>45874.0</v>
      </c>
      <c r="I1050" s="110" t="s">
        <v>2015</v>
      </c>
      <c r="J1050" s="104">
        <v>0.0</v>
      </c>
      <c r="K1050" s="110" t="s">
        <v>2581</v>
      </c>
      <c r="L1050" s="110" t="s">
        <v>2582</v>
      </c>
    </row>
    <row r="1051">
      <c r="A1051" s="110" t="s">
        <v>2017</v>
      </c>
      <c r="B1051" s="104">
        <v>0.0</v>
      </c>
      <c r="C1051" s="110" t="s">
        <v>331</v>
      </c>
      <c r="D1051" s="110" t="s">
        <v>217</v>
      </c>
      <c r="E1051" s="104">
        <v>0.0</v>
      </c>
      <c r="F1051" s="104">
        <v>170.0</v>
      </c>
      <c r="G1051" s="110" t="s">
        <v>238</v>
      </c>
      <c r="H1051" s="112">
        <v>45874.0</v>
      </c>
      <c r="I1051" s="110" t="s">
        <v>2017</v>
      </c>
      <c r="J1051" s="104">
        <v>0.0</v>
      </c>
      <c r="K1051" s="110" t="s">
        <v>2583</v>
      </c>
      <c r="L1051" s="110" t="s">
        <v>2584</v>
      </c>
    </row>
    <row r="1052">
      <c r="A1052" s="110" t="s">
        <v>2019</v>
      </c>
      <c r="B1052" s="104">
        <v>0.0</v>
      </c>
      <c r="C1052" s="110" t="s">
        <v>209</v>
      </c>
      <c r="D1052" s="110" t="s">
        <v>217</v>
      </c>
      <c r="E1052" s="104">
        <v>0.0</v>
      </c>
      <c r="F1052" s="104">
        <v>30.0</v>
      </c>
      <c r="G1052" s="110" t="s">
        <v>334</v>
      </c>
      <c r="H1052" s="112">
        <v>45743.0</v>
      </c>
      <c r="I1052" s="110" t="s">
        <v>2585</v>
      </c>
      <c r="J1052" s="104">
        <v>0.0</v>
      </c>
      <c r="K1052" s="110" t="s">
        <v>2586</v>
      </c>
      <c r="L1052" s="110" t="s">
        <v>2587</v>
      </c>
    </row>
    <row r="1053">
      <c r="A1053" s="110" t="s">
        <v>2019</v>
      </c>
      <c r="B1053" s="104">
        <v>0.0</v>
      </c>
      <c r="C1053" s="110" t="s">
        <v>209</v>
      </c>
      <c r="D1053" s="110" t="s">
        <v>217</v>
      </c>
      <c r="E1053" s="104">
        <v>0.0</v>
      </c>
      <c r="F1053" s="104">
        <v>30.0</v>
      </c>
      <c r="G1053" s="110" t="s">
        <v>238</v>
      </c>
      <c r="H1053" s="112">
        <v>45874.0</v>
      </c>
      <c r="I1053" s="110" t="s">
        <v>2588</v>
      </c>
      <c r="J1053" s="104">
        <v>0.0</v>
      </c>
      <c r="K1053" s="110" t="s">
        <v>2586</v>
      </c>
      <c r="L1053" s="110" t="s">
        <v>2589</v>
      </c>
    </row>
    <row r="1054">
      <c r="A1054" s="110" t="s">
        <v>2021</v>
      </c>
      <c r="B1054" s="104">
        <v>0.0</v>
      </c>
      <c r="C1054" s="110" t="s">
        <v>337</v>
      </c>
      <c r="D1054" s="110" t="s">
        <v>217</v>
      </c>
      <c r="E1054" s="104">
        <v>0.0</v>
      </c>
      <c r="F1054" s="104">
        <v>34.0</v>
      </c>
      <c r="G1054" s="110" t="s">
        <v>238</v>
      </c>
      <c r="H1054" s="112">
        <v>45603.0</v>
      </c>
      <c r="I1054" s="104">
        <v>0.0</v>
      </c>
      <c r="J1054" s="104">
        <v>0.0</v>
      </c>
      <c r="K1054" s="110" t="s">
        <v>2590</v>
      </c>
      <c r="L1054" s="110" t="s">
        <v>2591</v>
      </c>
    </row>
    <row r="1055">
      <c r="A1055" s="110" t="s">
        <v>2021</v>
      </c>
      <c r="B1055" s="104">
        <v>0.0</v>
      </c>
      <c r="C1055" s="110" t="s">
        <v>386</v>
      </c>
      <c r="D1055" s="110" t="s">
        <v>217</v>
      </c>
      <c r="E1055" s="104">
        <v>0.0</v>
      </c>
      <c r="F1055" s="104">
        <v>32.5</v>
      </c>
      <c r="G1055" s="110" t="s">
        <v>238</v>
      </c>
      <c r="H1055" s="112">
        <v>45874.0</v>
      </c>
      <c r="I1055" s="110" t="s">
        <v>2021</v>
      </c>
      <c r="J1055" s="104">
        <v>0.0</v>
      </c>
      <c r="K1055" s="110" t="s">
        <v>2592</v>
      </c>
      <c r="L1055" s="110" t="s">
        <v>2593</v>
      </c>
    </row>
    <row r="1056">
      <c r="A1056" s="110" t="s">
        <v>2023</v>
      </c>
      <c r="B1056" s="104">
        <v>0.0</v>
      </c>
      <c r="C1056" s="110" t="s">
        <v>209</v>
      </c>
      <c r="D1056" s="110" t="s">
        <v>217</v>
      </c>
      <c r="E1056" s="104">
        <v>0.0</v>
      </c>
      <c r="F1056" s="104">
        <v>79.0</v>
      </c>
      <c r="G1056" s="110" t="s">
        <v>238</v>
      </c>
      <c r="H1056" s="112">
        <v>45768.0</v>
      </c>
      <c r="I1056" s="104">
        <v>0.0</v>
      </c>
      <c r="J1056" s="104">
        <v>0.0</v>
      </c>
      <c r="K1056" s="110" t="s">
        <v>2594</v>
      </c>
      <c r="L1056" s="110" t="s">
        <v>2595</v>
      </c>
    </row>
    <row r="1057">
      <c r="A1057" s="110" t="s">
        <v>2025</v>
      </c>
      <c r="B1057" s="104">
        <v>0.0</v>
      </c>
      <c r="C1057" s="110" t="s">
        <v>535</v>
      </c>
      <c r="D1057" s="110" t="s">
        <v>210</v>
      </c>
      <c r="E1057" s="104">
        <v>0.0</v>
      </c>
      <c r="F1057" s="104">
        <v>49.0</v>
      </c>
      <c r="G1057" s="110" t="s">
        <v>334</v>
      </c>
      <c r="H1057" s="112">
        <v>45876.0</v>
      </c>
      <c r="I1057" s="104">
        <v>0.0</v>
      </c>
      <c r="J1057" s="104">
        <v>0.0</v>
      </c>
      <c r="K1057" s="110" t="s">
        <v>2596</v>
      </c>
      <c r="L1057" s="110" t="s">
        <v>2597</v>
      </c>
    </row>
    <row r="1058">
      <c r="A1058" s="110" t="s">
        <v>2027</v>
      </c>
      <c r="B1058" s="104">
        <v>0.0</v>
      </c>
      <c r="C1058" s="110" t="s">
        <v>535</v>
      </c>
      <c r="D1058" s="110" t="s">
        <v>210</v>
      </c>
      <c r="E1058" s="104">
        <v>0.0</v>
      </c>
      <c r="F1058" s="104">
        <v>52.0</v>
      </c>
      <c r="G1058" s="110" t="s">
        <v>238</v>
      </c>
      <c r="H1058" s="112">
        <v>45876.0</v>
      </c>
      <c r="I1058" s="104">
        <v>0.0</v>
      </c>
      <c r="J1058" s="104">
        <v>0.0</v>
      </c>
      <c r="K1058" s="110" t="s">
        <v>2598</v>
      </c>
      <c r="L1058" s="110" t="s">
        <v>2599</v>
      </c>
    </row>
    <row r="1059">
      <c r="A1059" s="110" t="s">
        <v>2029</v>
      </c>
      <c r="B1059" s="104">
        <v>0.0</v>
      </c>
      <c r="C1059" s="110" t="s">
        <v>535</v>
      </c>
      <c r="D1059" s="110" t="s">
        <v>210</v>
      </c>
      <c r="E1059" s="104">
        <v>0.0</v>
      </c>
      <c r="F1059" s="104">
        <v>47.0</v>
      </c>
      <c r="G1059" s="110" t="s">
        <v>2600</v>
      </c>
      <c r="H1059" s="112">
        <v>45876.0</v>
      </c>
      <c r="I1059" s="104">
        <v>0.0</v>
      </c>
      <c r="J1059" s="104">
        <v>0.0</v>
      </c>
      <c r="K1059" s="110" t="s">
        <v>2601</v>
      </c>
      <c r="L1059" s="110" t="s">
        <v>2602</v>
      </c>
    </row>
    <row r="1060">
      <c r="A1060" s="110" t="s">
        <v>2031</v>
      </c>
      <c r="B1060" s="104">
        <v>0.0</v>
      </c>
      <c r="C1060" s="110" t="s">
        <v>341</v>
      </c>
      <c r="D1060" s="110" t="s">
        <v>210</v>
      </c>
      <c r="E1060" s="104">
        <v>0.0</v>
      </c>
      <c r="F1060" s="104">
        <v>43.0</v>
      </c>
      <c r="G1060" s="110" t="s">
        <v>268</v>
      </c>
      <c r="H1060" s="112">
        <v>45919.0</v>
      </c>
      <c r="I1060" s="104">
        <v>0.0</v>
      </c>
      <c r="J1060" s="104">
        <v>0.0</v>
      </c>
      <c r="K1060" s="110" t="s">
        <v>2603</v>
      </c>
      <c r="L1060" s="110" t="s">
        <v>2604</v>
      </c>
    </row>
    <row r="1061">
      <c r="A1061" s="110" t="s">
        <v>2034</v>
      </c>
      <c r="B1061" s="104">
        <v>0.0</v>
      </c>
      <c r="C1061" s="110" t="s">
        <v>1086</v>
      </c>
      <c r="D1061" s="110" t="s">
        <v>226</v>
      </c>
      <c r="E1061" s="104">
        <v>0.0</v>
      </c>
      <c r="F1061" s="104">
        <v>4.1</v>
      </c>
      <c r="G1061" s="110" t="s">
        <v>1087</v>
      </c>
      <c r="H1061" s="112">
        <v>45849.0</v>
      </c>
      <c r="I1061" s="110" t="s">
        <v>2034</v>
      </c>
      <c r="J1061" s="104">
        <v>0.0</v>
      </c>
      <c r="K1061" s="110" t="s">
        <v>2605</v>
      </c>
      <c r="L1061" s="110" t="s">
        <v>2606</v>
      </c>
    </row>
    <row r="1062">
      <c r="A1062" s="110" t="s">
        <v>2034</v>
      </c>
      <c r="B1062" s="104">
        <v>0.0</v>
      </c>
      <c r="C1062" s="110" t="s">
        <v>1086</v>
      </c>
      <c r="D1062" s="110" t="s">
        <v>226</v>
      </c>
      <c r="E1062" s="104">
        <v>0.0</v>
      </c>
      <c r="F1062" s="104">
        <v>4.65</v>
      </c>
      <c r="G1062" s="110" t="s">
        <v>1091</v>
      </c>
      <c r="H1062" s="112">
        <v>45849.0</v>
      </c>
      <c r="I1062" s="110" t="s">
        <v>2034</v>
      </c>
      <c r="J1062" s="104">
        <v>0.0</v>
      </c>
      <c r="K1062" s="110" t="s">
        <v>2605</v>
      </c>
      <c r="L1062" s="110" t="s">
        <v>2607</v>
      </c>
    </row>
    <row r="1063">
      <c r="A1063" s="110" t="s">
        <v>2036</v>
      </c>
      <c r="B1063" s="104">
        <v>0.0</v>
      </c>
      <c r="C1063" s="110" t="s">
        <v>317</v>
      </c>
      <c r="D1063" s="110" t="s">
        <v>322</v>
      </c>
      <c r="E1063" s="104">
        <v>0.0</v>
      </c>
      <c r="F1063" s="104">
        <v>105.0</v>
      </c>
      <c r="G1063" s="104">
        <v>0.0</v>
      </c>
      <c r="H1063" s="112">
        <v>45874.0</v>
      </c>
      <c r="I1063" s="104">
        <v>0.0</v>
      </c>
      <c r="J1063" s="104">
        <v>0.0</v>
      </c>
      <c r="K1063" s="110" t="s">
        <v>2608</v>
      </c>
      <c r="L1063" s="110" t="s">
        <v>2609</v>
      </c>
    </row>
    <row r="1064">
      <c r="A1064" s="110" t="s">
        <v>2039</v>
      </c>
      <c r="B1064" s="104">
        <v>0.0</v>
      </c>
      <c r="C1064" s="110" t="s">
        <v>247</v>
      </c>
      <c r="D1064" s="110" t="s">
        <v>210</v>
      </c>
      <c r="E1064" s="104">
        <v>0.0</v>
      </c>
      <c r="F1064" s="104">
        <v>0.0</v>
      </c>
      <c r="G1064" s="104">
        <v>0.0</v>
      </c>
      <c r="H1064" s="104" t="s">
        <v>232</v>
      </c>
      <c r="I1064" s="104">
        <v>0.0</v>
      </c>
      <c r="J1064" s="104">
        <v>0.0</v>
      </c>
      <c r="K1064" s="110" t="s">
        <v>2610</v>
      </c>
      <c r="L1064" s="110" t="s">
        <v>2611</v>
      </c>
    </row>
    <row r="1065">
      <c r="A1065" s="110" t="s">
        <v>2041</v>
      </c>
      <c r="B1065" s="104">
        <v>0.0</v>
      </c>
      <c r="C1065" s="110" t="s">
        <v>209</v>
      </c>
      <c r="D1065" s="110" t="s">
        <v>217</v>
      </c>
      <c r="E1065" s="104">
        <v>0.0</v>
      </c>
      <c r="F1065" s="104">
        <v>0.0</v>
      </c>
      <c r="G1065" s="104">
        <v>0.0</v>
      </c>
      <c r="H1065" s="104" t="s">
        <v>232</v>
      </c>
      <c r="I1065" s="104">
        <v>0.0</v>
      </c>
      <c r="J1065" s="104">
        <v>0.0</v>
      </c>
      <c r="K1065" s="110" t="s">
        <v>2612</v>
      </c>
      <c r="L1065" s="110" t="s">
        <v>2613</v>
      </c>
    </row>
    <row r="1066">
      <c r="A1066" s="110" t="s">
        <v>2043</v>
      </c>
      <c r="B1066" s="104">
        <v>0.0</v>
      </c>
      <c r="C1066" s="110" t="s">
        <v>551</v>
      </c>
      <c r="D1066" s="110" t="s">
        <v>552</v>
      </c>
      <c r="E1066" s="104">
        <v>0.0</v>
      </c>
      <c r="F1066" s="104">
        <v>35.73</v>
      </c>
      <c r="G1066" s="110" t="s">
        <v>238</v>
      </c>
      <c r="H1066" s="112">
        <v>45681.0</v>
      </c>
      <c r="I1066" s="104">
        <v>0.0</v>
      </c>
      <c r="J1066" s="104">
        <v>0.0</v>
      </c>
      <c r="K1066" s="110" t="s">
        <v>2614</v>
      </c>
      <c r="L1066" s="110" t="s">
        <v>2615</v>
      </c>
    </row>
    <row r="1067">
      <c r="A1067" s="110" t="s">
        <v>2046</v>
      </c>
      <c r="B1067" s="104">
        <v>0.0</v>
      </c>
      <c r="C1067" s="110" t="s">
        <v>247</v>
      </c>
      <c r="D1067" s="110" t="s">
        <v>210</v>
      </c>
      <c r="E1067" s="104">
        <v>0.0</v>
      </c>
      <c r="F1067" s="104">
        <v>0.0</v>
      </c>
      <c r="G1067" s="104">
        <v>0.0</v>
      </c>
      <c r="H1067" s="104" t="s">
        <v>232</v>
      </c>
      <c r="I1067" s="104">
        <v>0.0</v>
      </c>
      <c r="J1067" s="104">
        <v>0.0</v>
      </c>
      <c r="K1067" s="110" t="s">
        <v>2616</v>
      </c>
      <c r="L1067" s="110" t="s">
        <v>2617</v>
      </c>
    </row>
    <row r="1068">
      <c r="A1068" s="110" t="s">
        <v>2048</v>
      </c>
      <c r="B1068" s="110" t="s">
        <v>2618</v>
      </c>
      <c r="C1068" s="110" t="s">
        <v>720</v>
      </c>
      <c r="D1068" s="110" t="s">
        <v>210</v>
      </c>
      <c r="E1068" s="104">
        <v>0.0</v>
      </c>
      <c r="F1068" s="104">
        <v>308.0</v>
      </c>
      <c r="G1068" s="110" t="s">
        <v>721</v>
      </c>
      <c r="H1068" s="112">
        <v>45741.0</v>
      </c>
      <c r="I1068" s="104">
        <v>0.0</v>
      </c>
      <c r="J1068" s="104">
        <v>0.0</v>
      </c>
      <c r="K1068" s="110" t="s">
        <v>2619</v>
      </c>
      <c r="L1068" s="110" t="s">
        <v>2620</v>
      </c>
    </row>
    <row r="1069">
      <c r="A1069" s="110" t="s">
        <v>2048</v>
      </c>
      <c r="B1069" s="110" t="s">
        <v>2618</v>
      </c>
      <c r="C1069" s="110" t="s">
        <v>720</v>
      </c>
      <c r="D1069" s="110" t="s">
        <v>210</v>
      </c>
      <c r="E1069" s="104">
        <v>0.0</v>
      </c>
      <c r="F1069" s="104">
        <v>275.0</v>
      </c>
      <c r="G1069" s="110" t="s">
        <v>724</v>
      </c>
      <c r="H1069" s="112">
        <v>45741.0</v>
      </c>
      <c r="I1069" s="104">
        <v>0.0</v>
      </c>
      <c r="J1069" s="104">
        <v>0.0</v>
      </c>
      <c r="K1069" s="110" t="s">
        <v>2619</v>
      </c>
      <c r="L1069" s="110" t="s">
        <v>2621</v>
      </c>
    </row>
    <row r="1070">
      <c r="A1070" s="110" t="s">
        <v>2048</v>
      </c>
      <c r="B1070" s="110" t="s">
        <v>2618</v>
      </c>
      <c r="C1070" s="110" t="s">
        <v>720</v>
      </c>
      <c r="D1070" s="110" t="s">
        <v>210</v>
      </c>
      <c r="E1070" s="104">
        <v>0.0</v>
      </c>
      <c r="F1070" s="104">
        <v>241.0</v>
      </c>
      <c r="G1070" s="110" t="s">
        <v>726</v>
      </c>
      <c r="H1070" s="112">
        <v>45741.0</v>
      </c>
      <c r="I1070" s="104">
        <v>0.0</v>
      </c>
      <c r="J1070" s="104">
        <v>0.0</v>
      </c>
      <c r="K1070" s="110" t="s">
        <v>2619</v>
      </c>
      <c r="L1070" s="110" t="s">
        <v>2622</v>
      </c>
    </row>
    <row r="1071">
      <c r="A1071" s="110" t="s">
        <v>2048</v>
      </c>
      <c r="B1071" s="110" t="s">
        <v>2618</v>
      </c>
      <c r="C1071" s="110" t="s">
        <v>720</v>
      </c>
      <c r="D1071" s="110" t="s">
        <v>210</v>
      </c>
      <c r="E1071" s="104">
        <v>0.0</v>
      </c>
      <c r="F1071" s="104">
        <v>231.0</v>
      </c>
      <c r="G1071" s="110" t="s">
        <v>728</v>
      </c>
      <c r="H1071" s="112">
        <v>45741.0</v>
      </c>
      <c r="I1071" s="104">
        <v>0.0</v>
      </c>
      <c r="J1071" s="104">
        <v>0.0</v>
      </c>
      <c r="K1071" s="110" t="s">
        <v>2619</v>
      </c>
      <c r="L1071" s="110" t="s">
        <v>2623</v>
      </c>
    </row>
    <row r="1072">
      <c r="A1072" s="110" t="s">
        <v>2049</v>
      </c>
      <c r="B1072" s="110" t="s">
        <v>2624</v>
      </c>
      <c r="C1072" s="110" t="s">
        <v>720</v>
      </c>
      <c r="D1072" s="110" t="s">
        <v>210</v>
      </c>
      <c r="E1072" s="104">
        <v>0.0</v>
      </c>
      <c r="F1072" s="104">
        <v>252.0</v>
      </c>
      <c r="G1072" s="110" t="s">
        <v>721</v>
      </c>
      <c r="H1072" s="112">
        <v>45741.0</v>
      </c>
      <c r="I1072" s="104">
        <v>0.0</v>
      </c>
      <c r="J1072" s="104">
        <v>0.0</v>
      </c>
      <c r="K1072" s="110" t="s">
        <v>2625</v>
      </c>
      <c r="L1072" s="110" t="s">
        <v>2626</v>
      </c>
    </row>
    <row r="1073">
      <c r="A1073" s="110" t="s">
        <v>2049</v>
      </c>
      <c r="B1073" s="110" t="s">
        <v>2624</v>
      </c>
      <c r="C1073" s="110" t="s">
        <v>720</v>
      </c>
      <c r="D1073" s="110" t="s">
        <v>210</v>
      </c>
      <c r="E1073" s="104">
        <v>0.0</v>
      </c>
      <c r="F1073" s="104">
        <v>237.0</v>
      </c>
      <c r="G1073" s="110" t="s">
        <v>724</v>
      </c>
      <c r="H1073" s="112">
        <v>45741.0</v>
      </c>
      <c r="I1073" s="104">
        <v>0.0</v>
      </c>
      <c r="J1073" s="104">
        <v>0.0</v>
      </c>
      <c r="K1073" s="110" t="s">
        <v>2625</v>
      </c>
      <c r="L1073" s="110" t="s">
        <v>2627</v>
      </c>
    </row>
    <row r="1074">
      <c r="A1074" s="110" t="s">
        <v>2049</v>
      </c>
      <c r="B1074" s="110" t="s">
        <v>2624</v>
      </c>
      <c r="C1074" s="110" t="s">
        <v>720</v>
      </c>
      <c r="D1074" s="110" t="s">
        <v>210</v>
      </c>
      <c r="E1074" s="104">
        <v>0.0</v>
      </c>
      <c r="F1074" s="104">
        <v>214.0</v>
      </c>
      <c r="G1074" s="110" t="s">
        <v>726</v>
      </c>
      <c r="H1074" s="112">
        <v>45741.0</v>
      </c>
      <c r="I1074" s="104">
        <v>0.0</v>
      </c>
      <c r="J1074" s="104">
        <v>0.0</v>
      </c>
      <c r="K1074" s="110" t="s">
        <v>2625</v>
      </c>
      <c r="L1074" s="110" t="s">
        <v>2628</v>
      </c>
    </row>
    <row r="1075">
      <c r="A1075" s="110" t="s">
        <v>2049</v>
      </c>
      <c r="B1075" s="110" t="s">
        <v>2624</v>
      </c>
      <c r="C1075" s="110" t="s">
        <v>720</v>
      </c>
      <c r="D1075" s="110" t="s">
        <v>210</v>
      </c>
      <c r="E1075" s="104">
        <v>0.0</v>
      </c>
      <c r="F1075" s="104">
        <v>205.0</v>
      </c>
      <c r="G1075" s="110" t="s">
        <v>728</v>
      </c>
      <c r="H1075" s="112">
        <v>45741.0</v>
      </c>
      <c r="I1075" s="104">
        <v>0.0</v>
      </c>
      <c r="J1075" s="104">
        <v>0.0</v>
      </c>
      <c r="K1075" s="110" t="s">
        <v>2625</v>
      </c>
      <c r="L1075" s="110" t="s">
        <v>2629</v>
      </c>
    </row>
    <row r="1076">
      <c r="A1076" s="110" t="s">
        <v>2052</v>
      </c>
      <c r="B1076" s="110" t="s">
        <v>2630</v>
      </c>
      <c r="C1076" s="110" t="s">
        <v>720</v>
      </c>
      <c r="D1076" s="110" t="s">
        <v>210</v>
      </c>
      <c r="E1076" s="104">
        <v>0.0</v>
      </c>
      <c r="F1076" s="104">
        <v>218.0</v>
      </c>
      <c r="G1076" s="110" t="s">
        <v>721</v>
      </c>
      <c r="H1076" s="112">
        <v>45741.0</v>
      </c>
      <c r="I1076" s="104">
        <v>0.0</v>
      </c>
      <c r="J1076" s="104">
        <v>0.0</v>
      </c>
      <c r="K1076" s="110" t="s">
        <v>2631</v>
      </c>
      <c r="L1076" s="110" t="s">
        <v>2632</v>
      </c>
    </row>
    <row r="1077">
      <c r="A1077" s="110" t="s">
        <v>2052</v>
      </c>
      <c r="B1077" s="110" t="s">
        <v>2630</v>
      </c>
      <c r="C1077" s="110" t="s">
        <v>720</v>
      </c>
      <c r="D1077" s="110" t="s">
        <v>210</v>
      </c>
      <c r="E1077" s="104">
        <v>0.0</v>
      </c>
      <c r="F1077" s="104">
        <v>204.0</v>
      </c>
      <c r="G1077" s="110" t="s">
        <v>724</v>
      </c>
      <c r="H1077" s="112">
        <v>45741.0</v>
      </c>
      <c r="I1077" s="104">
        <v>0.0</v>
      </c>
      <c r="J1077" s="104">
        <v>0.0</v>
      </c>
      <c r="K1077" s="110" t="s">
        <v>2631</v>
      </c>
      <c r="L1077" s="110" t="s">
        <v>2633</v>
      </c>
    </row>
    <row r="1078">
      <c r="A1078" s="110" t="s">
        <v>2052</v>
      </c>
      <c r="B1078" s="110" t="s">
        <v>2630</v>
      </c>
      <c r="C1078" s="110" t="s">
        <v>720</v>
      </c>
      <c r="D1078" s="110" t="s">
        <v>210</v>
      </c>
      <c r="E1078" s="104">
        <v>0.0</v>
      </c>
      <c r="F1078" s="104">
        <v>187.0</v>
      </c>
      <c r="G1078" s="110" t="s">
        <v>726</v>
      </c>
      <c r="H1078" s="112">
        <v>45741.0</v>
      </c>
      <c r="I1078" s="104">
        <v>0.0</v>
      </c>
      <c r="J1078" s="104">
        <v>0.0</v>
      </c>
      <c r="K1078" s="110" t="s">
        <v>2631</v>
      </c>
      <c r="L1078" s="110" t="s">
        <v>2634</v>
      </c>
    </row>
    <row r="1079">
      <c r="A1079" s="110" t="s">
        <v>2052</v>
      </c>
      <c r="B1079" s="110" t="s">
        <v>2630</v>
      </c>
      <c r="C1079" s="110" t="s">
        <v>720</v>
      </c>
      <c r="D1079" s="110" t="s">
        <v>210</v>
      </c>
      <c r="E1079" s="104">
        <v>0.0</v>
      </c>
      <c r="F1079" s="104">
        <v>179.0</v>
      </c>
      <c r="G1079" s="110" t="s">
        <v>728</v>
      </c>
      <c r="H1079" s="112">
        <v>45741.0</v>
      </c>
      <c r="I1079" s="104">
        <v>0.0</v>
      </c>
      <c r="J1079" s="104">
        <v>0.0</v>
      </c>
      <c r="K1079" s="110" t="s">
        <v>2631</v>
      </c>
      <c r="L1079" s="110" t="s">
        <v>2635</v>
      </c>
    </row>
    <row r="1080">
      <c r="A1080" s="110" t="s">
        <v>2054</v>
      </c>
      <c r="B1080" s="110" t="s">
        <v>2636</v>
      </c>
      <c r="C1080" s="110" t="s">
        <v>720</v>
      </c>
      <c r="D1080" s="110" t="s">
        <v>210</v>
      </c>
      <c r="E1080" s="104">
        <v>0.0</v>
      </c>
      <c r="F1080" s="104">
        <v>280.0</v>
      </c>
      <c r="G1080" s="110" t="s">
        <v>721</v>
      </c>
      <c r="H1080" s="112">
        <v>45741.0</v>
      </c>
      <c r="I1080" s="104">
        <v>0.0</v>
      </c>
      <c r="J1080" s="104">
        <v>0.0</v>
      </c>
      <c r="K1080" s="110" t="s">
        <v>2637</v>
      </c>
      <c r="L1080" s="110" t="s">
        <v>2638</v>
      </c>
    </row>
    <row r="1081">
      <c r="A1081" s="110" t="s">
        <v>2054</v>
      </c>
      <c r="B1081" s="110" t="s">
        <v>2636</v>
      </c>
      <c r="C1081" s="110" t="s">
        <v>720</v>
      </c>
      <c r="D1081" s="110" t="s">
        <v>210</v>
      </c>
      <c r="E1081" s="104">
        <v>0.0</v>
      </c>
      <c r="F1081" s="104">
        <v>259.0</v>
      </c>
      <c r="G1081" s="110" t="s">
        <v>724</v>
      </c>
      <c r="H1081" s="112">
        <v>45741.0</v>
      </c>
      <c r="I1081" s="104">
        <v>0.0</v>
      </c>
      <c r="J1081" s="104">
        <v>0.0</v>
      </c>
      <c r="K1081" s="110" t="s">
        <v>2637</v>
      </c>
      <c r="L1081" s="110" t="s">
        <v>2639</v>
      </c>
    </row>
    <row r="1082">
      <c r="A1082" s="110" t="s">
        <v>2054</v>
      </c>
      <c r="B1082" s="110" t="s">
        <v>2636</v>
      </c>
      <c r="C1082" s="110" t="s">
        <v>720</v>
      </c>
      <c r="D1082" s="110" t="s">
        <v>210</v>
      </c>
      <c r="E1082" s="104">
        <v>0.0</v>
      </c>
      <c r="F1082" s="104">
        <v>235.0</v>
      </c>
      <c r="G1082" s="110" t="s">
        <v>726</v>
      </c>
      <c r="H1082" s="112">
        <v>45741.0</v>
      </c>
      <c r="I1082" s="104">
        <v>0.0</v>
      </c>
      <c r="J1082" s="104">
        <v>0.0</v>
      </c>
      <c r="K1082" s="110" t="s">
        <v>2637</v>
      </c>
      <c r="L1082" s="110" t="s">
        <v>2640</v>
      </c>
    </row>
    <row r="1083">
      <c r="A1083" s="110" t="s">
        <v>2054</v>
      </c>
      <c r="B1083" s="110" t="s">
        <v>2636</v>
      </c>
      <c r="C1083" s="110" t="s">
        <v>720</v>
      </c>
      <c r="D1083" s="110" t="s">
        <v>210</v>
      </c>
      <c r="E1083" s="104">
        <v>0.0</v>
      </c>
      <c r="F1083" s="104">
        <v>226.0</v>
      </c>
      <c r="G1083" s="110" t="s">
        <v>728</v>
      </c>
      <c r="H1083" s="112">
        <v>45741.0</v>
      </c>
      <c r="I1083" s="104">
        <v>0.0</v>
      </c>
      <c r="J1083" s="104">
        <v>0.0</v>
      </c>
      <c r="K1083" s="110" t="s">
        <v>2637</v>
      </c>
      <c r="L1083" s="110" t="s">
        <v>2641</v>
      </c>
    </row>
    <row r="1084">
      <c r="A1084" s="110" t="s">
        <v>2056</v>
      </c>
      <c r="B1084" s="110" t="s">
        <v>2642</v>
      </c>
      <c r="C1084" s="110" t="s">
        <v>720</v>
      </c>
      <c r="D1084" s="110" t="s">
        <v>210</v>
      </c>
      <c r="E1084" s="104">
        <v>0.0</v>
      </c>
      <c r="F1084" s="104">
        <v>218.0</v>
      </c>
      <c r="G1084" s="110" t="s">
        <v>721</v>
      </c>
      <c r="H1084" s="112">
        <v>45741.0</v>
      </c>
      <c r="I1084" s="104">
        <v>0.0</v>
      </c>
      <c r="J1084" s="104">
        <v>0.0</v>
      </c>
      <c r="K1084" s="110" t="s">
        <v>2643</v>
      </c>
      <c r="L1084" s="110" t="s">
        <v>2644</v>
      </c>
    </row>
    <row r="1085">
      <c r="A1085" s="110" t="s">
        <v>2056</v>
      </c>
      <c r="B1085" s="110" t="s">
        <v>2642</v>
      </c>
      <c r="C1085" s="110" t="s">
        <v>720</v>
      </c>
      <c r="D1085" s="110" t="s">
        <v>210</v>
      </c>
      <c r="E1085" s="104">
        <v>0.0</v>
      </c>
      <c r="F1085" s="104">
        <v>204.0</v>
      </c>
      <c r="G1085" s="110" t="s">
        <v>724</v>
      </c>
      <c r="H1085" s="112">
        <v>45741.0</v>
      </c>
      <c r="I1085" s="104">
        <v>0.0</v>
      </c>
      <c r="J1085" s="104">
        <v>0.0</v>
      </c>
      <c r="K1085" s="110" t="s">
        <v>2643</v>
      </c>
      <c r="L1085" s="110" t="s">
        <v>2645</v>
      </c>
    </row>
    <row r="1086">
      <c r="A1086" s="110" t="s">
        <v>2056</v>
      </c>
      <c r="B1086" s="110" t="s">
        <v>2642</v>
      </c>
      <c r="C1086" s="110" t="s">
        <v>720</v>
      </c>
      <c r="D1086" s="110" t="s">
        <v>210</v>
      </c>
      <c r="E1086" s="104">
        <v>0.0</v>
      </c>
      <c r="F1086" s="104">
        <v>187.0</v>
      </c>
      <c r="G1086" s="110" t="s">
        <v>726</v>
      </c>
      <c r="H1086" s="112">
        <v>45741.0</v>
      </c>
      <c r="I1086" s="104">
        <v>0.0</v>
      </c>
      <c r="J1086" s="104">
        <v>0.0</v>
      </c>
      <c r="K1086" s="110" t="s">
        <v>2643</v>
      </c>
      <c r="L1086" s="110" t="s">
        <v>2646</v>
      </c>
    </row>
    <row r="1087">
      <c r="A1087" s="110" t="s">
        <v>2056</v>
      </c>
      <c r="B1087" s="110" t="s">
        <v>2642</v>
      </c>
      <c r="C1087" s="110" t="s">
        <v>720</v>
      </c>
      <c r="D1087" s="110" t="s">
        <v>210</v>
      </c>
      <c r="E1087" s="104">
        <v>0.0</v>
      </c>
      <c r="F1087" s="104">
        <v>179.0</v>
      </c>
      <c r="G1087" s="110" t="s">
        <v>728</v>
      </c>
      <c r="H1087" s="112">
        <v>45741.0</v>
      </c>
      <c r="I1087" s="104">
        <v>0.0</v>
      </c>
      <c r="J1087" s="104">
        <v>0.0</v>
      </c>
      <c r="K1087" s="110" t="s">
        <v>2643</v>
      </c>
      <c r="L1087" s="110" t="s">
        <v>2647</v>
      </c>
    </row>
    <row r="1088">
      <c r="A1088" s="110" t="s">
        <v>2058</v>
      </c>
      <c r="B1088" s="110" t="s">
        <v>2648</v>
      </c>
      <c r="C1088" s="110" t="s">
        <v>720</v>
      </c>
      <c r="D1088" s="110" t="s">
        <v>210</v>
      </c>
      <c r="E1088" s="104">
        <v>0.0</v>
      </c>
      <c r="F1088" s="104">
        <v>286.0</v>
      </c>
      <c r="G1088" s="110" t="s">
        <v>721</v>
      </c>
      <c r="H1088" s="112">
        <v>45741.0</v>
      </c>
      <c r="I1088" s="104">
        <v>0.0</v>
      </c>
      <c r="J1088" s="104">
        <v>0.0</v>
      </c>
      <c r="K1088" s="110" t="s">
        <v>2649</v>
      </c>
      <c r="L1088" s="110" t="s">
        <v>2650</v>
      </c>
    </row>
    <row r="1089">
      <c r="A1089" s="110" t="s">
        <v>2058</v>
      </c>
      <c r="B1089" s="110" t="s">
        <v>2648</v>
      </c>
      <c r="C1089" s="110" t="s">
        <v>720</v>
      </c>
      <c r="D1089" s="110" t="s">
        <v>210</v>
      </c>
      <c r="E1089" s="104">
        <v>0.0</v>
      </c>
      <c r="F1089" s="104">
        <v>264.0</v>
      </c>
      <c r="G1089" s="110" t="s">
        <v>724</v>
      </c>
      <c r="H1089" s="112">
        <v>45741.0</v>
      </c>
      <c r="I1089" s="104">
        <v>0.0</v>
      </c>
      <c r="J1089" s="104">
        <v>0.0</v>
      </c>
      <c r="K1089" s="110" t="s">
        <v>2649</v>
      </c>
      <c r="L1089" s="110" t="s">
        <v>2651</v>
      </c>
    </row>
    <row r="1090">
      <c r="A1090" s="110" t="s">
        <v>2058</v>
      </c>
      <c r="B1090" s="110" t="s">
        <v>2648</v>
      </c>
      <c r="C1090" s="110" t="s">
        <v>720</v>
      </c>
      <c r="D1090" s="110" t="s">
        <v>210</v>
      </c>
      <c r="E1090" s="104">
        <v>0.0</v>
      </c>
      <c r="F1090" s="104">
        <v>246.0</v>
      </c>
      <c r="G1090" s="110" t="s">
        <v>726</v>
      </c>
      <c r="H1090" s="112">
        <v>45741.0</v>
      </c>
      <c r="I1090" s="104">
        <v>0.0</v>
      </c>
      <c r="J1090" s="104">
        <v>0.0</v>
      </c>
      <c r="K1090" s="110" t="s">
        <v>2649</v>
      </c>
      <c r="L1090" s="110" t="s">
        <v>2652</v>
      </c>
    </row>
    <row r="1091">
      <c r="A1091" s="110" t="s">
        <v>2058</v>
      </c>
      <c r="B1091" s="110" t="s">
        <v>2648</v>
      </c>
      <c r="C1091" s="110" t="s">
        <v>720</v>
      </c>
      <c r="D1091" s="110" t="s">
        <v>210</v>
      </c>
      <c r="E1091" s="104">
        <v>0.0</v>
      </c>
      <c r="F1091" s="104">
        <v>236.0</v>
      </c>
      <c r="G1091" s="110" t="s">
        <v>728</v>
      </c>
      <c r="H1091" s="112">
        <v>45741.0</v>
      </c>
      <c r="I1091" s="104">
        <v>0.0</v>
      </c>
      <c r="J1091" s="104">
        <v>0.0</v>
      </c>
      <c r="K1091" s="110" t="s">
        <v>2649</v>
      </c>
      <c r="L1091" s="110" t="s">
        <v>2653</v>
      </c>
    </row>
    <row r="1092">
      <c r="A1092" s="110" t="s">
        <v>2060</v>
      </c>
      <c r="B1092" s="110" t="s">
        <v>2654</v>
      </c>
      <c r="C1092" s="110" t="s">
        <v>720</v>
      </c>
      <c r="D1092" s="110" t="s">
        <v>210</v>
      </c>
      <c r="E1092" s="104">
        <v>0.0</v>
      </c>
      <c r="F1092" s="104">
        <v>442.0</v>
      </c>
      <c r="G1092" s="110" t="s">
        <v>721</v>
      </c>
      <c r="H1092" s="112">
        <v>45741.0</v>
      </c>
      <c r="I1092" s="104">
        <v>0.0</v>
      </c>
      <c r="J1092" s="104">
        <v>0.0</v>
      </c>
      <c r="K1092" s="110" t="s">
        <v>2655</v>
      </c>
      <c r="L1092" s="110" t="s">
        <v>2656</v>
      </c>
    </row>
    <row r="1093">
      <c r="A1093" s="110" t="s">
        <v>2060</v>
      </c>
      <c r="B1093" s="110" t="s">
        <v>2654</v>
      </c>
      <c r="C1093" s="110" t="s">
        <v>720</v>
      </c>
      <c r="D1093" s="110" t="s">
        <v>210</v>
      </c>
      <c r="E1093" s="104">
        <v>0.0</v>
      </c>
      <c r="F1093" s="104">
        <v>418.0</v>
      </c>
      <c r="G1093" s="110" t="s">
        <v>724</v>
      </c>
      <c r="H1093" s="112">
        <v>45741.0</v>
      </c>
      <c r="I1093" s="104">
        <v>0.0</v>
      </c>
      <c r="J1093" s="104">
        <v>0.0</v>
      </c>
      <c r="K1093" s="110" t="s">
        <v>2655</v>
      </c>
      <c r="L1093" s="110" t="s">
        <v>2657</v>
      </c>
    </row>
    <row r="1094">
      <c r="A1094" s="110" t="s">
        <v>2060</v>
      </c>
      <c r="B1094" s="110" t="s">
        <v>2654</v>
      </c>
      <c r="C1094" s="110" t="s">
        <v>720</v>
      </c>
      <c r="D1094" s="110" t="s">
        <v>210</v>
      </c>
      <c r="E1094" s="104">
        <v>0.0</v>
      </c>
      <c r="F1094" s="104">
        <v>375.0</v>
      </c>
      <c r="G1094" s="110" t="s">
        <v>726</v>
      </c>
      <c r="H1094" s="112">
        <v>45741.0</v>
      </c>
      <c r="I1094" s="104">
        <v>0.0</v>
      </c>
      <c r="J1094" s="104">
        <v>0.0</v>
      </c>
      <c r="K1094" s="110" t="s">
        <v>2655</v>
      </c>
      <c r="L1094" s="110" t="s">
        <v>2658</v>
      </c>
    </row>
    <row r="1095">
      <c r="A1095" s="110" t="s">
        <v>2060</v>
      </c>
      <c r="B1095" s="110" t="s">
        <v>2654</v>
      </c>
      <c r="C1095" s="110" t="s">
        <v>720</v>
      </c>
      <c r="D1095" s="110" t="s">
        <v>210</v>
      </c>
      <c r="E1095" s="104">
        <v>0.0</v>
      </c>
      <c r="F1095" s="104">
        <v>362.0</v>
      </c>
      <c r="G1095" s="110" t="s">
        <v>728</v>
      </c>
      <c r="H1095" s="112">
        <v>45741.0</v>
      </c>
      <c r="I1095" s="104">
        <v>0.0</v>
      </c>
      <c r="J1095" s="104">
        <v>0.0</v>
      </c>
      <c r="K1095" s="110" t="s">
        <v>2655</v>
      </c>
      <c r="L1095" s="110" t="s">
        <v>2659</v>
      </c>
    </row>
    <row r="1096">
      <c r="A1096" s="110" t="s">
        <v>2063</v>
      </c>
      <c r="B1096" s="110" t="s">
        <v>2660</v>
      </c>
      <c r="C1096" s="110" t="s">
        <v>720</v>
      </c>
      <c r="D1096" s="110" t="s">
        <v>210</v>
      </c>
      <c r="E1096" s="104">
        <v>0.0</v>
      </c>
      <c r="F1096" s="104">
        <v>252.0</v>
      </c>
      <c r="G1096" s="110" t="s">
        <v>721</v>
      </c>
      <c r="H1096" s="112">
        <v>45741.0</v>
      </c>
      <c r="I1096" s="104">
        <v>0.0</v>
      </c>
      <c r="J1096" s="104">
        <v>0.0</v>
      </c>
      <c r="K1096" s="110" t="s">
        <v>2661</v>
      </c>
      <c r="L1096" s="110" t="s">
        <v>2662</v>
      </c>
    </row>
    <row r="1097">
      <c r="A1097" s="110" t="s">
        <v>2063</v>
      </c>
      <c r="B1097" s="110" t="s">
        <v>2660</v>
      </c>
      <c r="C1097" s="110" t="s">
        <v>720</v>
      </c>
      <c r="D1097" s="110" t="s">
        <v>210</v>
      </c>
      <c r="E1097" s="104">
        <v>0.0</v>
      </c>
      <c r="F1097" s="104">
        <v>237.0</v>
      </c>
      <c r="G1097" s="110" t="s">
        <v>724</v>
      </c>
      <c r="H1097" s="112">
        <v>45741.0</v>
      </c>
      <c r="I1097" s="104">
        <v>0.0</v>
      </c>
      <c r="J1097" s="104">
        <v>0.0</v>
      </c>
      <c r="K1097" s="110" t="s">
        <v>2661</v>
      </c>
      <c r="L1097" s="110" t="s">
        <v>2663</v>
      </c>
    </row>
    <row r="1098">
      <c r="A1098" s="110" t="s">
        <v>2063</v>
      </c>
      <c r="B1098" s="110" t="s">
        <v>2660</v>
      </c>
      <c r="C1098" s="110" t="s">
        <v>720</v>
      </c>
      <c r="D1098" s="110" t="s">
        <v>210</v>
      </c>
      <c r="E1098" s="104">
        <v>0.0</v>
      </c>
      <c r="F1098" s="104">
        <v>214.0</v>
      </c>
      <c r="G1098" s="110" t="s">
        <v>726</v>
      </c>
      <c r="H1098" s="112">
        <v>45741.0</v>
      </c>
      <c r="I1098" s="104">
        <v>0.0</v>
      </c>
      <c r="J1098" s="104">
        <v>0.0</v>
      </c>
      <c r="K1098" s="110" t="s">
        <v>2661</v>
      </c>
      <c r="L1098" s="110" t="s">
        <v>2664</v>
      </c>
    </row>
    <row r="1099">
      <c r="A1099" s="110" t="s">
        <v>2063</v>
      </c>
      <c r="B1099" s="110" t="s">
        <v>2660</v>
      </c>
      <c r="C1099" s="110" t="s">
        <v>720</v>
      </c>
      <c r="D1099" s="110" t="s">
        <v>210</v>
      </c>
      <c r="E1099" s="104">
        <v>0.0</v>
      </c>
      <c r="F1099" s="104">
        <v>205.0</v>
      </c>
      <c r="G1099" s="110" t="s">
        <v>728</v>
      </c>
      <c r="H1099" s="112">
        <v>45741.0</v>
      </c>
      <c r="I1099" s="104">
        <v>0.0</v>
      </c>
      <c r="J1099" s="104">
        <v>0.0</v>
      </c>
      <c r="K1099" s="110" t="s">
        <v>2661</v>
      </c>
      <c r="L1099" s="110" t="s">
        <v>2665</v>
      </c>
    </row>
    <row r="1100">
      <c r="A1100" s="110" t="s">
        <v>2064</v>
      </c>
      <c r="B1100" s="110" t="s">
        <v>2666</v>
      </c>
      <c r="C1100" s="110" t="s">
        <v>720</v>
      </c>
      <c r="D1100" s="110" t="s">
        <v>210</v>
      </c>
      <c r="E1100" s="104">
        <v>0.0</v>
      </c>
      <c r="F1100" s="104">
        <v>168.0</v>
      </c>
      <c r="G1100" s="110" t="s">
        <v>721</v>
      </c>
      <c r="H1100" s="112">
        <v>45741.0</v>
      </c>
      <c r="I1100" s="104">
        <v>0.0</v>
      </c>
      <c r="J1100" s="104">
        <v>0.0</v>
      </c>
      <c r="K1100" s="110" t="s">
        <v>2667</v>
      </c>
      <c r="L1100" s="110" t="s">
        <v>2668</v>
      </c>
    </row>
    <row r="1101">
      <c r="A1101" s="110" t="s">
        <v>2064</v>
      </c>
      <c r="B1101" s="110" t="s">
        <v>2666</v>
      </c>
      <c r="C1101" s="110" t="s">
        <v>720</v>
      </c>
      <c r="D1101" s="110" t="s">
        <v>210</v>
      </c>
      <c r="E1101" s="104">
        <v>0.0</v>
      </c>
      <c r="F1101" s="104">
        <v>154.0</v>
      </c>
      <c r="G1101" s="110" t="s">
        <v>724</v>
      </c>
      <c r="H1101" s="112">
        <v>45741.0</v>
      </c>
      <c r="I1101" s="104">
        <v>0.0</v>
      </c>
      <c r="J1101" s="104">
        <v>0.0</v>
      </c>
      <c r="K1101" s="110" t="s">
        <v>2667</v>
      </c>
      <c r="L1101" s="110" t="s">
        <v>2669</v>
      </c>
    </row>
    <row r="1102">
      <c r="A1102" s="110" t="s">
        <v>2064</v>
      </c>
      <c r="B1102" s="110" t="s">
        <v>2666</v>
      </c>
      <c r="C1102" s="110" t="s">
        <v>720</v>
      </c>
      <c r="D1102" s="110" t="s">
        <v>210</v>
      </c>
      <c r="E1102" s="104">
        <v>0.0</v>
      </c>
      <c r="F1102" s="104">
        <v>139.0</v>
      </c>
      <c r="G1102" s="110" t="s">
        <v>726</v>
      </c>
      <c r="H1102" s="112">
        <v>45741.0</v>
      </c>
      <c r="I1102" s="104">
        <v>0.0</v>
      </c>
      <c r="J1102" s="104">
        <v>0.0</v>
      </c>
      <c r="K1102" s="110" t="s">
        <v>2667</v>
      </c>
      <c r="L1102" s="110" t="s">
        <v>2670</v>
      </c>
    </row>
    <row r="1103">
      <c r="A1103" s="110" t="s">
        <v>2064</v>
      </c>
      <c r="B1103" s="110" t="s">
        <v>2666</v>
      </c>
      <c r="C1103" s="110" t="s">
        <v>720</v>
      </c>
      <c r="D1103" s="110" t="s">
        <v>210</v>
      </c>
      <c r="E1103" s="104">
        <v>0.0</v>
      </c>
      <c r="F1103" s="104">
        <v>131.0</v>
      </c>
      <c r="G1103" s="110" t="s">
        <v>728</v>
      </c>
      <c r="H1103" s="112">
        <v>45741.0</v>
      </c>
      <c r="I1103" s="104">
        <v>0.0</v>
      </c>
      <c r="J1103" s="104">
        <v>0.0</v>
      </c>
      <c r="K1103" s="110" t="s">
        <v>2667</v>
      </c>
      <c r="L1103" s="110" t="s">
        <v>2671</v>
      </c>
    </row>
    <row r="1104">
      <c r="A1104" s="110" t="s">
        <v>2065</v>
      </c>
      <c r="B1104" s="110" t="s">
        <v>2672</v>
      </c>
      <c r="C1104" s="110" t="s">
        <v>720</v>
      </c>
      <c r="D1104" s="110" t="s">
        <v>210</v>
      </c>
      <c r="E1104" s="104">
        <v>0.0</v>
      </c>
      <c r="F1104" s="104">
        <v>218.0</v>
      </c>
      <c r="G1104" s="110" t="s">
        <v>721</v>
      </c>
      <c r="H1104" s="112">
        <v>45741.0</v>
      </c>
      <c r="I1104" s="104">
        <v>0.0</v>
      </c>
      <c r="J1104" s="104">
        <v>0.0</v>
      </c>
      <c r="K1104" s="110" t="s">
        <v>2673</v>
      </c>
      <c r="L1104" s="110" t="s">
        <v>2674</v>
      </c>
    </row>
    <row r="1105">
      <c r="A1105" s="110" t="s">
        <v>2065</v>
      </c>
      <c r="B1105" s="110" t="s">
        <v>2672</v>
      </c>
      <c r="C1105" s="110" t="s">
        <v>720</v>
      </c>
      <c r="D1105" s="110" t="s">
        <v>210</v>
      </c>
      <c r="E1105" s="104">
        <v>0.0</v>
      </c>
      <c r="F1105" s="104">
        <v>204.0</v>
      </c>
      <c r="G1105" s="110" t="s">
        <v>724</v>
      </c>
      <c r="H1105" s="112">
        <v>45741.0</v>
      </c>
      <c r="I1105" s="104">
        <v>0.0</v>
      </c>
      <c r="J1105" s="104">
        <v>0.0</v>
      </c>
      <c r="K1105" s="110" t="s">
        <v>2673</v>
      </c>
      <c r="L1105" s="110" t="s">
        <v>2675</v>
      </c>
    </row>
    <row r="1106">
      <c r="A1106" s="110" t="s">
        <v>2065</v>
      </c>
      <c r="B1106" s="110" t="s">
        <v>2672</v>
      </c>
      <c r="C1106" s="110" t="s">
        <v>720</v>
      </c>
      <c r="D1106" s="110" t="s">
        <v>210</v>
      </c>
      <c r="E1106" s="104">
        <v>0.0</v>
      </c>
      <c r="F1106" s="104">
        <v>182.0</v>
      </c>
      <c r="G1106" s="110" t="s">
        <v>726</v>
      </c>
      <c r="H1106" s="112">
        <v>45741.0</v>
      </c>
      <c r="I1106" s="104">
        <v>0.0</v>
      </c>
      <c r="J1106" s="104">
        <v>0.0</v>
      </c>
      <c r="K1106" s="110" t="s">
        <v>2673</v>
      </c>
      <c r="L1106" s="110" t="s">
        <v>2676</v>
      </c>
    </row>
    <row r="1107">
      <c r="A1107" s="110" t="s">
        <v>2065</v>
      </c>
      <c r="B1107" s="110" t="s">
        <v>2672</v>
      </c>
      <c r="C1107" s="110" t="s">
        <v>720</v>
      </c>
      <c r="D1107" s="110" t="s">
        <v>210</v>
      </c>
      <c r="E1107" s="104">
        <v>0.0</v>
      </c>
      <c r="F1107" s="104">
        <v>173.0</v>
      </c>
      <c r="G1107" s="110" t="s">
        <v>728</v>
      </c>
      <c r="H1107" s="112">
        <v>45741.0</v>
      </c>
      <c r="I1107" s="104">
        <v>0.0</v>
      </c>
      <c r="J1107" s="104">
        <v>0.0</v>
      </c>
      <c r="K1107" s="110" t="s">
        <v>2673</v>
      </c>
      <c r="L1107" s="110" t="s">
        <v>2677</v>
      </c>
    </row>
    <row r="1108">
      <c r="A1108" s="110" t="s">
        <v>2066</v>
      </c>
      <c r="B1108" s="110" t="s">
        <v>2678</v>
      </c>
      <c r="C1108" s="110" t="s">
        <v>720</v>
      </c>
      <c r="D1108" s="110" t="s">
        <v>210</v>
      </c>
      <c r="E1108" s="104">
        <v>0.0</v>
      </c>
      <c r="F1108" s="104">
        <v>218.0</v>
      </c>
      <c r="G1108" s="110" t="s">
        <v>721</v>
      </c>
      <c r="H1108" s="112">
        <v>45741.0</v>
      </c>
      <c r="I1108" s="104">
        <v>0.0</v>
      </c>
      <c r="J1108" s="104">
        <v>0.0</v>
      </c>
      <c r="K1108" s="110" t="s">
        <v>2679</v>
      </c>
      <c r="L1108" s="110" t="s">
        <v>2680</v>
      </c>
    </row>
    <row r="1109">
      <c r="A1109" s="110" t="s">
        <v>2066</v>
      </c>
      <c r="B1109" s="110" t="s">
        <v>2678</v>
      </c>
      <c r="C1109" s="110" t="s">
        <v>720</v>
      </c>
      <c r="D1109" s="110" t="s">
        <v>210</v>
      </c>
      <c r="E1109" s="104">
        <v>0.0</v>
      </c>
      <c r="F1109" s="104">
        <v>204.0</v>
      </c>
      <c r="G1109" s="110" t="s">
        <v>724</v>
      </c>
      <c r="H1109" s="112">
        <v>45741.0</v>
      </c>
      <c r="I1109" s="104">
        <v>0.0</v>
      </c>
      <c r="J1109" s="104">
        <v>0.0</v>
      </c>
      <c r="K1109" s="110" t="s">
        <v>2679</v>
      </c>
      <c r="L1109" s="110" t="s">
        <v>2681</v>
      </c>
    </row>
    <row r="1110">
      <c r="A1110" s="110" t="s">
        <v>2066</v>
      </c>
      <c r="B1110" s="110" t="s">
        <v>2678</v>
      </c>
      <c r="C1110" s="110" t="s">
        <v>720</v>
      </c>
      <c r="D1110" s="110" t="s">
        <v>210</v>
      </c>
      <c r="E1110" s="104">
        <v>0.0</v>
      </c>
      <c r="F1110" s="104">
        <v>187.0</v>
      </c>
      <c r="G1110" s="110" t="s">
        <v>726</v>
      </c>
      <c r="H1110" s="112">
        <v>45741.0</v>
      </c>
      <c r="I1110" s="104">
        <v>0.0</v>
      </c>
      <c r="J1110" s="104">
        <v>0.0</v>
      </c>
      <c r="K1110" s="110" t="s">
        <v>2679</v>
      </c>
      <c r="L1110" s="110" t="s">
        <v>2682</v>
      </c>
    </row>
    <row r="1111">
      <c r="A1111" s="110" t="s">
        <v>2066</v>
      </c>
      <c r="B1111" s="110" t="s">
        <v>2678</v>
      </c>
      <c r="C1111" s="110" t="s">
        <v>720</v>
      </c>
      <c r="D1111" s="110" t="s">
        <v>210</v>
      </c>
      <c r="E1111" s="104">
        <v>0.0</v>
      </c>
      <c r="F1111" s="104">
        <v>179.0</v>
      </c>
      <c r="G1111" s="110" t="s">
        <v>728</v>
      </c>
      <c r="H1111" s="112">
        <v>45741.0</v>
      </c>
      <c r="I1111" s="104">
        <v>0.0</v>
      </c>
      <c r="J1111" s="104">
        <v>0.0</v>
      </c>
      <c r="K1111" s="110" t="s">
        <v>2679</v>
      </c>
      <c r="L1111" s="110" t="s">
        <v>2683</v>
      </c>
    </row>
    <row r="1112">
      <c r="A1112" s="110" t="s">
        <v>2069</v>
      </c>
      <c r="B1112" s="110" t="s">
        <v>2684</v>
      </c>
      <c r="C1112" s="110" t="s">
        <v>720</v>
      </c>
      <c r="D1112" s="110" t="s">
        <v>210</v>
      </c>
      <c r="E1112" s="104">
        <v>0.0</v>
      </c>
      <c r="F1112" s="104">
        <v>241.0</v>
      </c>
      <c r="G1112" s="110" t="s">
        <v>721</v>
      </c>
      <c r="H1112" s="112">
        <v>45741.0</v>
      </c>
      <c r="I1112" s="104">
        <v>0.0</v>
      </c>
      <c r="J1112" s="104">
        <v>0.0</v>
      </c>
      <c r="K1112" s="110" t="s">
        <v>2685</v>
      </c>
      <c r="L1112" s="104">
        <v>0.0</v>
      </c>
    </row>
    <row r="1113">
      <c r="A1113" s="110" t="s">
        <v>2069</v>
      </c>
      <c r="B1113" s="110" t="s">
        <v>2684</v>
      </c>
      <c r="C1113" s="110" t="s">
        <v>720</v>
      </c>
      <c r="D1113" s="110" t="s">
        <v>210</v>
      </c>
      <c r="E1113" s="104">
        <v>0.0</v>
      </c>
      <c r="F1113" s="104">
        <v>226.0</v>
      </c>
      <c r="G1113" s="110" t="s">
        <v>724</v>
      </c>
      <c r="H1113" s="112">
        <v>45741.0</v>
      </c>
      <c r="I1113" s="104">
        <v>0.0</v>
      </c>
      <c r="J1113" s="104">
        <v>0.0</v>
      </c>
      <c r="K1113" s="110" t="s">
        <v>2685</v>
      </c>
      <c r="L1113" s="84"/>
    </row>
    <row r="1114">
      <c r="A1114" s="110" t="s">
        <v>2069</v>
      </c>
      <c r="B1114" s="110" t="s">
        <v>2684</v>
      </c>
      <c r="C1114" s="110" t="s">
        <v>720</v>
      </c>
      <c r="D1114" s="110" t="s">
        <v>210</v>
      </c>
      <c r="E1114" s="104">
        <v>0.0</v>
      </c>
      <c r="F1114" s="104">
        <v>203.0</v>
      </c>
      <c r="G1114" s="110" t="s">
        <v>726</v>
      </c>
      <c r="H1114" s="112">
        <v>45741.0</v>
      </c>
      <c r="I1114" s="110" t="s">
        <v>2686</v>
      </c>
      <c r="J1114" s="104">
        <v>0.0</v>
      </c>
      <c r="K1114" s="110" t="s">
        <v>2685</v>
      </c>
      <c r="L1114" s="84"/>
    </row>
    <row r="1115">
      <c r="A1115" s="110" t="s">
        <v>2069</v>
      </c>
      <c r="B1115" s="110" t="s">
        <v>2684</v>
      </c>
      <c r="C1115" s="110" t="s">
        <v>720</v>
      </c>
      <c r="D1115" s="110" t="s">
        <v>210</v>
      </c>
      <c r="E1115" s="104">
        <v>0.0</v>
      </c>
      <c r="F1115" s="104">
        <v>194.0</v>
      </c>
      <c r="G1115" s="110" t="s">
        <v>728</v>
      </c>
      <c r="H1115" s="112">
        <v>45741.0</v>
      </c>
      <c r="I1115" s="104">
        <v>0.0</v>
      </c>
      <c r="J1115" s="104">
        <v>0.0</v>
      </c>
      <c r="K1115" s="110" t="s">
        <v>2685</v>
      </c>
      <c r="L1115" s="84"/>
    </row>
    <row r="1116">
      <c r="A1116" s="110" t="s">
        <v>2070</v>
      </c>
      <c r="B1116" s="104">
        <v>0.0</v>
      </c>
      <c r="C1116" s="110" t="s">
        <v>417</v>
      </c>
      <c r="D1116" s="110" t="s">
        <v>226</v>
      </c>
      <c r="E1116" s="104">
        <v>0.0</v>
      </c>
      <c r="F1116" s="104">
        <v>139.0</v>
      </c>
      <c r="G1116" s="110" t="s">
        <v>218</v>
      </c>
      <c r="H1116" s="112">
        <v>45915.0</v>
      </c>
      <c r="I1116" s="110" t="s">
        <v>2070</v>
      </c>
      <c r="J1116" s="104">
        <v>0.0</v>
      </c>
      <c r="K1116" s="110" t="s">
        <v>2687</v>
      </c>
      <c r="L1116" s="84"/>
    </row>
    <row r="1117">
      <c r="A1117" s="110" t="s">
        <v>2071</v>
      </c>
      <c r="B1117" s="104">
        <v>0.0</v>
      </c>
      <c r="C1117" s="110" t="s">
        <v>417</v>
      </c>
      <c r="D1117" s="110" t="s">
        <v>226</v>
      </c>
      <c r="E1117" s="104">
        <v>0.0</v>
      </c>
      <c r="F1117" s="104">
        <v>220.0</v>
      </c>
      <c r="G1117" s="110" t="s">
        <v>338</v>
      </c>
      <c r="H1117" s="112">
        <v>45915.0</v>
      </c>
      <c r="I1117" s="110" t="s">
        <v>2071</v>
      </c>
      <c r="J1117" s="104">
        <v>0.0</v>
      </c>
      <c r="K1117" s="110" t="s">
        <v>2688</v>
      </c>
      <c r="L1117" s="84"/>
    </row>
    <row r="1118">
      <c r="A1118" s="110" t="s">
        <v>2072</v>
      </c>
      <c r="B1118" s="104">
        <v>0.0</v>
      </c>
      <c r="C1118" s="110" t="s">
        <v>2689</v>
      </c>
      <c r="D1118" s="110" t="s">
        <v>226</v>
      </c>
      <c r="E1118" s="104">
        <v>0.0</v>
      </c>
      <c r="F1118" s="104">
        <v>155.0</v>
      </c>
      <c r="G1118" s="110" t="s">
        <v>218</v>
      </c>
      <c r="H1118" s="112">
        <v>45812.0</v>
      </c>
      <c r="I1118" s="104">
        <v>0.0</v>
      </c>
      <c r="J1118" s="104">
        <v>0.0</v>
      </c>
      <c r="K1118" s="110" t="s">
        <v>2690</v>
      </c>
      <c r="L1118" s="84"/>
    </row>
    <row r="1119">
      <c r="A1119" s="110" t="s">
        <v>2074</v>
      </c>
      <c r="B1119" s="104">
        <v>0.0</v>
      </c>
      <c r="C1119" s="110" t="s">
        <v>1395</v>
      </c>
      <c r="D1119" s="110" t="s">
        <v>1134</v>
      </c>
      <c r="E1119" s="104">
        <v>0.0</v>
      </c>
      <c r="F1119" s="104">
        <v>22.81</v>
      </c>
      <c r="G1119" s="110" t="s">
        <v>238</v>
      </c>
      <c r="H1119" s="112">
        <v>45834.0</v>
      </c>
      <c r="I1119" s="110" t="s">
        <v>2074</v>
      </c>
      <c r="J1119" s="104">
        <v>0.0</v>
      </c>
      <c r="K1119" s="110" t="s">
        <v>2691</v>
      </c>
      <c r="L1119" s="84"/>
    </row>
    <row r="1120">
      <c r="A1120" s="110" t="s">
        <v>2076</v>
      </c>
      <c r="B1120" s="110" t="s">
        <v>2692</v>
      </c>
      <c r="C1120" s="110" t="s">
        <v>720</v>
      </c>
      <c r="D1120" s="110" t="s">
        <v>210</v>
      </c>
      <c r="E1120" s="104">
        <v>0.0</v>
      </c>
      <c r="F1120" s="104">
        <v>60.0</v>
      </c>
      <c r="G1120" s="110" t="s">
        <v>721</v>
      </c>
      <c r="H1120" s="112">
        <v>45741.0</v>
      </c>
      <c r="I1120" s="104">
        <v>0.0</v>
      </c>
      <c r="J1120" s="104">
        <v>0.0</v>
      </c>
      <c r="K1120" s="110" t="s">
        <v>2693</v>
      </c>
      <c r="L1120" s="84"/>
    </row>
    <row r="1121">
      <c r="A1121" s="110" t="s">
        <v>2076</v>
      </c>
      <c r="B1121" s="110" t="s">
        <v>2692</v>
      </c>
      <c r="C1121" s="110" t="s">
        <v>720</v>
      </c>
      <c r="D1121" s="110" t="s">
        <v>210</v>
      </c>
      <c r="E1121" s="104">
        <v>0.0</v>
      </c>
      <c r="F1121" s="104">
        <v>57.0</v>
      </c>
      <c r="G1121" s="110" t="s">
        <v>724</v>
      </c>
      <c r="H1121" s="112">
        <v>45741.0</v>
      </c>
      <c r="I1121" s="104">
        <v>0.0</v>
      </c>
      <c r="J1121" s="104">
        <v>0.0</v>
      </c>
      <c r="K1121" s="110" t="s">
        <v>2693</v>
      </c>
      <c r="L1121" s="84"/>
    </row>
    <row r="1122">
      <c r="A1122" s="110" t="s">
        <v>2076</v>
      </c>
      <c r="B1122" s="110" t="s">
        <v>2692</v>
      </c>
      <c r="C1122" s="110" t="s">
        <v>720</v>
      </c>
      <c r="D1122" s="110" t="s">
        <v>210</v>
      </c>
      <c r="E1122" s="104">
        <v>0.0</v>
      </c>
      <c r="F1122" s="104">
        <v>52.0</v>
      </c>
      <c r="G1122" s="110" t="s">
        <v>726</v>
      </c>
      <c r="H1122" s="112">
        <v>45741.0</v>
      </c>
      <c r="I1122" s="104">
        <v>0.0</v>
      </c>
      <c r="J1122" s="104">
        <v>0.0</v>
      </c>
      <c r="K1122" s="110" t="s">
        <v>2693</v>
      </c>
      <c r="L1122" s="84"/>
    </row>
    <row r="1123">
      <c r="A1123" s="110" t="s">
        <v>2076</v>
      </c>
      <c r="B1123" s="110" t="s">
        <v>2692</v>
      </c>
      <c r="C1123" s="110" t="s">
        <v>720</v>
      </c>
      <c r="D1123" s="110" t="s">
        <v>210</v>
      </c>
      <c r="E1123" s="104">
        <v>0.0</v>
      </c>
      <c r="F1123" s="104">
        <v>50.0</v>
      </c>
      <c r="G1123" s="110" t="s">
        <v>728</v>
      </c>
      <c r="H1123" s="112">
        <v>45741.0</v>
      </c>
      <c r="I1123" s="110" t="s">
        <v>2694</v>
      </c>
      <c r="J1123" s="104">
        <v>0.0</v>
      </c>
      <c r="K1123" s="110" t="s">
        <v>2693</v>
      </c>
      <c r="L1123" s="84"/>
    </row>
    <row r="1124">
      <c r="A1124" s="110" t="s">
        <v>2078</v>
      </c>
      <c r="B1124" s="104">
        <v>0.0</v>
      </c>
      <c r="C1124" s="110" t="s">
        <v>317</v>
      </c>
      <c r="D1124" s="110" t="s">
        <v>217</v>
      </c>
      <c r="E1124" s="104">
        <v>0.0</v>
      </c>
      <c r="F1124" s="104">
        <v>1200.0</v>
      </c>
      <c r="G1124" s="104">
        <v>0.0</v>
      </c>
      <c r="H1124" s="112">
        <v>45874.0</v>
      </c>
      <c r="I1124" s="104">
        <v>0.0</v>
      </c>
      <c r="J1124" s="104">
        <v>0.0</v>
      </c>
      <c r="K1124" s="110" t="s">
        <v>2695</v>
      </c>
      <c r="L1124" s="84"/>
    </row>
    <row r="1125">
      <c r="A1125" s="110" t="s">
        <v>2080</v>
      </c>
      <c r="B1125" s="104">
        <v>0.0</v>
      </c>
      <c r="C1125" s="110" t="s">
        <v>925</v>
      </c>
      <c r="D1125" s="110" t="s">
        <v>210</v>
      </c>
      <c r="E1125" s="104">
        <v>0.0</v>
      </c>
      <c r="F1125" s="104">
        <v>10.0</v>
      </c>
      <c r="G1125" s="110" t="s">
        <v>238</v>
      </c>
      <c r="H1125" s="112">
        <v>45980.0</v>
      </c>
      <c r="I1125" s="110" t="s">
        <v>2080</v>
      </c>
      <c r="J1125" s="104">
        <v>0.0</v>
      </c>
      <c r="K1125" s="110" t="s">
        <v>2696</v>
      </c>
      <c r="L1125" s="84"/>
    </row>
    <row r="1126">
      <c r="A1126" s="110" t="s">
        <v>2082</v>
      </c>
      <c r="B1126" s="104">
        <v>0.0</v>
      </c>
      <c r="C1126" s="110" t="s">
        <v>720</v>
      </c>
      <c r="D1126" s="110" t="s">
        <v>210</v>
      </c>
      <c r="E1126" s="104">
        <v>0.0</v>
      </c>
      <c r="F1126" s="104">
        <v>60.0</v>
      </c>
      <c r="G1126" s="110" t="s">
        <v>211</v>
      </c>
      <c r="H1126" s="112">
        <v>45979.0</v>
      </c>
      <c r="I1126" s="110" t="s">
        <v>2697</v>
      </c>
      <c r="J1126" s="104">
        <v>0.0</v>
      </c>
      <c r="K1126" s="110" t="s">
        <v>2698</v>
      </c>
      <c r="L1126" s="84"/>
    </row>
    <row r="1127">
      <c r="A1127" s="110" t="s">
        <v>2084</v>
      </c>
      <c r="B1127" s="104">
        <v>0.0</v>
      </c>
      <c r="C1127" s="110" t="s">
        <v>348</v>
      </c>
      <c r="D1127" s="110" t="s">
        <v>612</v>
      </c>
      <c r="E1127" s="104">
        <v>0.0</v>
      </c>
      <c r="F1127" s="104">
        <v>3.94</v>
      </c>
      <c r="G1127" s="110" t="s">
        <v>218</v>
      </c>
      <c r="H1127" s="112">
        <v>45867.0</v>
      </c>
      <c r="I1127" s="110" t="s">
        <v>2084</v>
      </c>
      <c r="J1127" s="104">
        <v>0.0</v>
      </c>
      <c r="K1127" s="110" t="s">
        <v>2699</v>
      </c>
      <c r="L1127" s="84"/>
    </row>
    <row r="1128">
      <c r="A1128" s="110" t="s">
        <v>2086</v>
      </c>
      <c r="B1128" s="104">
        <v>0.0</v>
      </c>
      <c r="C1128" s="110" t="s">
        <v>386</v>
      </c>
      <c r="D1128" s="110" t="s">
        <v>217</v>
      </c>
      <c r="E1128" s="104">
        <v>0.0</v>
      </c>
      <c r="F1128" s="104">
        <v>215.0</v>
      </c>
      <c r="G1128" s="110" t="s">
        <v>211</v>
      </c>
      <c r="H1128" s="112">
        <v>45663.0</v>
      </c>
      <c r="I1128" s="110" t="s">
        <v>2694</v>
      </c>
      <c r="J1128" s="104">
        <v>0.0</v>
      </c>
      <c r="K1128" s="110" t="s">
        <v>2700</v>
      </c>
      <c r="L1128" s="84"/>
    </row>
    <row r="1129">
      <c r="A1129" s="110" t="s">
        <v>2088</v>
      </c>
      <c r="B1129" s="104">
        <v>0.0</v>
      </c>
      <c r="C1129" s="110" t="s">
        <v>209</v>
      </c>
      <c r="D1129" s="110" t="s">
        <v>217</v>
      </c>
      <c r="E1129" s="104">
        <v>0.0</v>
      </c>
      <c r="F1129" s="104">
        <v>235.0</v>
      </c>
      <c r="G1129" s="110" t="s">
        <v>334</v>
      </c>
      <c r="H1129" s="112">
        <v>45743.0</v>
      </c>
      <c r="I1129" s="104">
        <v>0.0</v>
      </c>
      <c r="J1129" s="104">
        <v>0.0</v>
      </c>
      <c r="K1129" s="110" t="s">
        <v>2701</v>
      </c>
      <c r="L1129" s="84"/>
    </row>
    <row r="1130">
      <c r="A1130" s="110" t="s">
        <v>2088</v>
      </c>
      <c r="B1130" s="104">
        <v>0.0</v>
      </c>
      <c r="C1130" s="110" t="s">
        <v>209</v>
      </c>
      <c r="D1130" s="110" t="s">
        <v>217</v>
      </c>
      <c r="E1130" s="104">
        <v>0.0</v>
      </c>
      <c r="F1130" s="104">
        <v>245.0</v>
      </c>
      <c r="G1130" s="110" t="s">
        <v>238</v>
      </c>
      <c r="H1130" s="112">
        <v>45743.0</v>
      </c>
      <c r="I1130" s="104">
        <v>0.0</v>
      </c>
      <c r="J1130" s="104">
        <v>0.0</v>
      </c>
      <c r="K1130" s="110" t="s">
        <v>2701</v>
      </c>
      <c r="L1130" s="84"/>
    </row>
    <row r="1131">
      <c r="A1131" s="110" t="s">
        <v>2090</v>
      </c>
      <c r="B1131" s="104">
        <v>0.0</v>
      </c>
      <c r="C1131" s="110" t="s">
        <v>337</v>
      </c>
      <c r="D1131" s="110" t="s">
        <v>217</v>
      </c>
      <c r="E1131" s="104">
        <v>0.0</v>
      </c>
      <c r="F1131" s="104">
        <v>195.0</v>
      </c>
      <c r="G1131" s="110" t="s">
        <v>238</v>
      </c>
      <c r="H1131" s="112">
        <v>45674.0</v>
      </c>
      <c r="I1131" s="104">
        <v>0.0</v>
      </c>
      <c r="J1131" s="104">
        <v>0.0</v>
      </c>
      <c r="K1131" s="110" t="s">
        <v>2702</v>
      </c>
      <c r="L1131" s="84"/>
    </row>
    <row r="1132">
      <c r="A1132" s="110" t="s">
        <v>2094</v>
      </c>
      <c r="B1132" s="104">
        <v>0.0</v>
      </c>
      <c r="C1132" s="110" t="s">
        <v>1302</v>
      </c>
      <c r="D1132" s="110" t="s">
        <v>201</v>
      </c>
      <c r="E1132" s="104">
        <v>0.0</v>
      </c>
      <c r="F1132" s="104">
        <v>0.0</v>
      </c>
      <c r="G1132" s="110" t="s">
        <v>211</v>
      </c>
      <c r="H1132" s="112">
        <v>45894.0</v>
      </c>
      <c r="I1132" s="104">
        <v>0.0</v>
      </c>
      <c r="J1132" s="104">
        <v>0.0</v>
      </c>
      <c r="K1132" s="110" t="s">
        <v>2703</v>
      </c>
      <c r="L1132" s="84"/>
    </row>
    <row r="1133">
      <c r="A1133" s="110" t="s">
        <v>2096</v>
      </c>
      <c r="B1133" s="104">
        <v>0.0</v>
      </c>
      <c r="C1133" s="110" t="s">
        <v>337</v>
      </c>
      <c r="D1133" s="110" t="s">
        <v>217</v>
      </c>
      <c r="E1133" s="104">
        <v>0.0</v>
      </c>
      <c r="F1133" s="104">
        <v>36.0</v>
      </c>
      <c r="G1133" s="110" t="s">
        <v>238</v>
      </c>
      <c r="H1133" s="112">
        <v>45603.0</v>
      </c>
      <c r="I1133" s="104">
        <v>0.0</v>
      </c>
      <c r="J1133" s="104">
        <v>0.0</v>
      </c>
      <c r="K1133" s="110" t="s">
        <v>2704</v>
      </c>
      <c r="L1133" s="84"/>
    </row>
    <row r="1134">
      <c r="A1134" s="110" t="s">
        <v>2099</v>
      </c>
      <c r="B1134" s="104">
        <v>0.0</v>
      </c>
      <c r="C1134" s="110" t="s">
        <v>331</v>
      </c>
      <c r="D1134" s="110" t="s">
        <v>210</v>
      </c>
      <c r="E1134" s="104">
        <v>0.0</v>
      </c>
      <c r="F1134" s="104">
        <v>75.0</v>
      </c>
      <c r="G1134" s="110" t="s">
        <v>218</v>
      </c>
      <c r="H1134" s="112">
        <v>45897.0</v>
      </c>
      <c r="I1134" s="110" t="s">
        <v>2705</v>
      </c>
      <c r="J1134" s="104">
        <v>0.0</v>
      </c>
      <c r="K1134" s="110" t="s">
        <v>2706</v>
      </c>
      <c r="L1134" s="84"/>
    </row>
    <row r="1135">
      <c r="A1135" s="110" t="s">
        <v>2101</v>
      </c>
      <c r="B1135" s="104">
        <v>0.0</v>
      </c>
      <c r="C1135" s="110" t="s">
        <v>310</v>
      </c>
      <c r="D1135" s="110" t="s">
        <v>217</v>
      </c>
      <c r="E1135" s="104">
        <v>0.0</v>
      </c>
      <c r="F1135" s="104">
        <v>149.0</v>
      </c>
      <c r="G1135" s="104">
        <v>0.0</v>
      </c>
      <c r="H1135" s="112">
        <v>45707.0</v>
      </c>
      <c r="I1135" s="104">
        <v>0.0</v>
      </c>
      <c r="J1135" s="104">
        <v>0.0</v>
      </c>
      <c r="K1135" s="110" t="s">
        <v>2707</v>
      </c>
      <c r="L1135" s="84"/>
    </row>
    <row r="1136">
      <c r="A1136" s="110" t="s">
        <v>2106</v>
      </c>
      <c r="B1136" s="104">
        <v>0.0</v>
      </c>
      <c r="C1136" s="110" t="s">
        <v>247</v>
      </c>
      <c r="D1136" s="110" t="s">
        <v>210</v>
      </c>
      <c r="E1136" s="104">
        <v>0.0</v>
      </c>
      <c r="F1136" s="104">
        <v>0.0</v>
      </c>
      <c r="G1136" s="104">
        <v>0.0</v>
      </c>
      <c r="H1136" s="104" t="s">
        <v>232</v>
      </c>
      <c r="I1136" s="104">
        <v>0.0</v>
      </c>
      <c r="J1136" s="104">
        <v>0.0</v>
      </c>
      <c r="K1136" s="110" t="s">
        <v>2708</v>
      </c>
      <c r="L1136" s="84"/>
    </row>
    <row r="1137">
      <c r="A1137" s="110" t="s">
        <v>2108</v>
      </c>
      <c r="B1137" s="104">
        <v>0.0</v>
      </c>
      <c r="C1137" s="110" t="s">
        <v>337</v>
      </c>
      <c r="D1137" s="110" t="s">
        <v>217</v>
      </c>
      <c r="E1137" s="104">
        <v>0.0</v>
      </c>
      <c r="F1137" s="104">
        <v>50.0</v>
      </c>
      <c r="G1137" s="104">
        <v>25.0</v>
      </c>
      <c r="H1137" s="112">
        <v>45883.0</v>
      </c>
      <c r="I1137" s="110" t="s">
        <v>2108</v>
      </c>
      <c r="J1137" s="104">
        <v>0.0</v>
      </c>
      <c r="K1137" s="110" t="s">
        <v>2709</v>
      </c>
      <c r="L1137" s="84"/>
    </row>
    <row r="1138">
      <c r="A1138" s="110" t="s">
        <v>2109</v>
      </c>
      <c r="B1138" s="104">
        <v>0.0</v>
      </c>
      <c r="C1138" s="110" t="s">
        <v>337</v>
      </c>
      <c r="D1138" s="110" t="s">
        <v>217</v>
      </c>
      <c r="E1138" s="104">
        <v>0.0</v>
      </c>
      <c r="F1138" s="104">
        <v>195.0</v>
      </c>
      <c r="G1138" s="110" t="s">
        <v>338</v>
      </c>
      <c r="H1138" s="112">
        <v>45846.0</v>
      </c>
      <c r="I1138" s="110" t="s">
        <v>2710</v>
      </c>
      <c r="J1138" s="104">
        <v>0.0</v>
      </c>
      <c r="K1138" s="110" t="s">
        <v>2711</v>
      </c>
      <c r="L1138" s="84"/>
    </row>
    <row r="1139">
      <c r="A1139" s="110" t="s">
        <v>2109</v>
      </c>
      <c r="B1139" s="104">
        <v>0.0</v>
      </c>
      <c r="C1139" s="110" t="s">
        <v>337</v>
      </c>
      <c r="D1139" s="110" t="s">
        <v>217</v>
      </c>
      <c r="E1139" s="104">
        <v>0.0</v>
      </c>
      <c r="F1139" s="104">
        <v>190.0</v>
      </c>
      <c r="G1139" s="110" t="s">
        <v>218</v>
      </c>
      <c r="H1139" s="112">
        <v>45846.0</v>
      </c>
      <c r="I1139" s="110" t="s">
        <v>2710</v>
      </c>
      <c r="J1139" s="104">
        <v>0.0</v>
      </c>
      <c r="K1139" s="110" t="s">
        <v>2711</v>
      </c>
      <c r="L1139" s="84"/>
    </row>
    <row r="1140">
      <c r="A1140" s="110" t="s">
        <v>2112</v>
      </c>
      <c r="B1140" s="104">
        <v>0.0</v>
      </c>
      <c r="C1140" s="110" t="s">
        <v>209</v>
      </c>
      <c r="D1140" s="110" t="s">
        <v>217</v>
      </c>
      <c r="E1140" s="104">
        <v>0.0</v>
      </c>
      <c r="F1140" s="104">
        <v>94.5</v>
      </c>
      <c r="G1140" s="110" t="s">
        <v>302</v>
      </c>
      <c r="H1140" s="112">
        <v>45846.0</v>
      </c>
      <c r="I1140" s="110" t="s">
        <v>2710</v>
      </c>
      <c r="J1140" s="104">
        <v>0.0</v>
      </c>
      <c r="K1140" s="110" t="s">
        <v>2712</v>
      </c>
      <c r="L1140" s="84"/>
    </row>
    <row r="1141">
      <c r="A1141" s="110" t="s">
        <v>2114</v>
      </c>
      <c r="B1141" s="104">
        <v>0.0</v>
      </c>
      <c r="C1141" s="110" t="s">
        <v>417</v>
      </c>
      <c r="D1141" s="110" t="s">
        <v>201</v>
      </c>
      <c r="E1141" s="104">
        <v>0.0</v>
      </c>
      <c r="F1141" s="104">
        <v>6.4</v>
      </c>
      <c r="G1141" s="110" t="s">
        <v>774</v>
      </c>
      <c r="H1141" s="112">
        <v>45897.0</v>
      </c>
      <c r="I1141" s="104">
        <v>0.0</v>
      </c>
      <c r="J1141" s="104">
        <v>0.0</v>
      </c>
      <c r="K1141" s="110" t="s">
        <v>2713</v>
      </c>
      <c r="L1141" s="84"/>
    </row>
    <row r="1142">
      <c r="A1142" s="110" t="s">
        <v>2116</v>
      </c>
      <c r="B1142" s="104">
        <v>0.0</v>
      </c>
      <c r="C1142" s="110" t="s">
        <v>417</v>
      </c>
      <c r="D1142" s="110" t="s">
        <v>201</v>
      </c>
      <c r="E1142" s="104">
        <v>0.0</v>
      </c>
      <c r="F1142" s="104">
        <v>6.4</v>
      </c>
      <c r="G1142" s="110" t="s">
        <v>774</v>
      </c>
      <c r="H1142" s="112">
        <v>45897.0</v>
      </c>
      <c r="I1142" s="104">
        <v>0.0</v>
      </c>
      <c r="J1142" s="104">
        <v>0.0</v>
      </c>
      <c r="K1142" s="110" t="s">
        <v>2714</v>
      </c>
      <c r="L1142" s="84"/>
    </row>
    <row r="1143">
      <c r="A1143" s="110" t="s">
        <v>2119</v>
      </c>
      <c r="B1143" s="104">
        <v>0.0</v>
      </c>
      <c r="C1143" s="110" t="s">
        <v>468</v>
      </c>
      <c r="D1143" s="110" t="s">
        <v>2715</v>
      </c>
      <c r="E1143" s="104">
        <v>0.0</v>
      </c>
      <c r="F1143" s="104">
        <v>43.09</v>
      </c>
      <c r="G1143" s="110" t="s">
        <v>218</v>
      </c>
      <c r="H1143" s="112">
        <v>45936.0</v>
      </c>
      <c r="I1143" s="104">
        <v>0.0</v>
      </c>
      <c r="J1143" s="104">
        <v>0.0</v>
      </c>
      <c r="K1143" s="110" t="s">
        <v>2716</v>
      </c>
      <c r="L1143" s="84"/>
    </row>
    <row r="1144">
      <c r="A1144" s="110" t="s">
        <v>2121</v>
      </c>
      <c r="B1144" s="104">
        <v>0.0</v>
      </c>
      <c r="C1144" s="110" t="s">
        <v>2717</v>
      </c>
      <c r="D1144" s="110" t="s">
        <v>544</v>
      </c>
      <c r="E1144" s="104">
        <v>0.0</v>
      </c>
      <c r="F1144" s="104">
        <v>0.0</v>
      </c>
      <c r="G1144" s="104">
        <v>0.0</v>
      </c>
      <c r="H1144" s="112">
        <v>45887.0</v>
      </c>
      <c r="I1144" s="110" t="s">
        <v>2121</v>
      </c>
      <c r="J1144" s="104">
        <v>0.0</v>
      </c>
      <c r="K1144" s="110" t="s">
        <v>2718</v>
      </c>
      <c r="L1144" s="84"/>
    </row>
    <row r="1145">
      <c r="A1145" s="110" t="s">
        <v>2124</v>
      </c>
      <c r="B1145" s="104">
        <v>0.0</v>
      </c>
      <c r="C1145" s="110" t="s">
        <v>2717</v>
      </c>
      <c r="D1145" s="110" t="s">
        <v>544</v>
      </c>
      <c r="E1145" s="104">
        <v>0.0</v>
      </c>
      <c r="F1145" s="104">
        <v>0.0</v>
      </c>
      <c r="G1145" s="110" t="s">
        <v>2719</v>
      </c>
      <c r="H1145" s="112">
        <v>45873.0</v>
      </c>
      <c r="I1145" s="110" t="s">
        <v>2124</v>
      </c>
      <c r="J1145" s="104">
        <v>0.0</v>
      </c>
      <c r="K1145" s="110" t="s">
        <v>2720</v>
      </c>
      <c r="L1145" s="84"/>
    </row>
    <row r="1146">
      <c r="A1146" s="110" t="s">
        <v>2126</v>
      </c>
      <c r="B1146" s="104">
        <v>0.0</v>
      </c>
      <c r="C1146" s="110" t="s">
        <v>209</v>
      </c>
      <c r="D1146" s="110" t="s">
        <v>210</v>
      </c>
      <c r="E1146" s="104">
        <v>33.0</v>
      </c>
      <c r="F1146" s="104">
        <v>33.0</v>
      </c>
      <c r="G1146" s="110" t="s">
        <v>238</v>
      </c>
      <c r="H1146" s="112">
        <v>45987.0</v>
      </c>
      <c r="I1146" s="110" t="s">
        <v>2126</v>
      </c>
      <c r="J1146" s="104">
        <v>0.0</v>
      </c>
      <c r="K1146" s="110" t="s">
        <v>2721</v>
      </c>
      <c r="L1146" s="84"/>
    </row>
    <row r="1147">
      <c r="A1147" s="110" t="s">
        <v>2128</v>
      </c>
      <c r="B1147" s="104">
        <v>0.0</v>
      </c>
      <c r="C1147" s="110" t="s">
        <v>341</v>
      </c>
      <c r="D1147" s="110" t="s">
        <v>210</v>
      </c>
      <c r="E1147" s="104">
        <v>0.0</v>
      </c>
      <c r="F1147" s="104">
        <v>23.0</v>
      </c>
      <c r="G1147" s="110" t="s">
        <v>268</v>
      </c>
      <c r="H1147" s="112">
        <v>45919.0</v>
      </c>
      <c r="I1147" s="104">
        <v>0.0</v>
      </c>
      <c r="J1147" s="104">
        <v>0.0</v>
      </c>
      <c r="K1147" s="110" t="s">
        <v>2722</v>
      </c>
      <c r="L1147" s="84"/>
    </row>
    <row r="1148">
      <c r="A1148" s="110" t="s">
        <v>2130</v>
      </c>
      <c r="B1148" s="110" t="s">
        <v>2130</v>
      </c>
      <c r="C1148" s="110" t="s">
        <v>325</v>
      </c>
      <c r="D1148" s="110" t="s">
        <v>217</v>
      </c>
      <c r="E1148" s="104">
        <v>0.0</v>
      </c>
      <c r="F1148" s="104">
        <v>395.0</v>
      </c>
      <c r="G1148" s="110" t="s">
        <v>338</v>
      </c>
      <c r="H1148" s="112">
        <v>44887.0</v>
      </c>
      <c r="I1148" s="104">
        <v>0.0</v>
      </c>
      <c r="J1148" s="104">
        <v>0.0</v>
      </c>
      <c r="K1148" s="110" t="s">
        <v>2723</v>
      </c>
      <c r="L1148" s="84"/>
    </row>
    <row r="1149">
      <c r="A1149" s="110" t="s">
        <v>2134</v>
      </c>
      <c r="B1149" s="104">
        <v>0.0</v>
      </c>
      <c r="C1149" s="110" t="s">
        <v>331</v>
      </c>
      <c r="D1149" s="110" t="s">
        <v>210</v>
      </c>
      <c r="E1149" s="104">
        <v>0.0</v>
      </c>
      <c r="F1149" s="104">
        <v>190.0</v>
      </c>
      <c r="G1149" s="110" t="s">
        <v>218</v>
      </c>
      <c r="H1149" s="112">
        <v>45874.0</v>
      </c>
      <c r="I1149" s="110" t="s">
        <v>2134</v>
      </c>
      <c r="J1149" s="104">
        <v>0.0</v>
      </c>
      <c r="K1149" s="110" t="s">
        <v>2724</v>
      </c>
      <c r="L1149" s="84"/>
    </row>
    <row r="1150">
      <c r="A1150" s="110" t="s">
        <v>2137</v>
      </c>
      <c r="B1150" s="104">
        <v>0.0</v>
      </c>
      <c r="C1150" s="110" t="s">
        <v>551</v>
      </c>
      <c r="D1150" s="110" t="s">
        <v>552</v>
      </c>
      <c r="E1150" s="104">
        <v>0.0</v>
      </c>
      <c r="F1150" s="104">
        <v>49.84</v>
      </c>
      <c r="G1150" s="110" t="s">
        <v>238</v>
      </c>
      <c r="H1150" s="112">
        <v>45720.0</v>
      </c>
      <c r="I1150" s="110" t="s">
        <v>2137</v>
      </c>
      <c r="J1150" s="104">
        <v>0.0</v>
      </c>
      <c r="K1150" s="110" t="s">
        <v>2725</v>
      </c>
      <c r="L1150" s="84"/>
    </row>
    <row r="1151">
      <c r="A1151" s="110" t="s">
        <v>2138</v>
      </c>
      <c r="B1151" s="104">
        <v>0.0</v>
      </c>
      <c r="C1151" s="110" t="s">
        <v>551</v>
      </c>
      <c r="D1151" s="110" t="s">
        <v>552</v>
      </c>
      <c r="E1151" s="104">
        <v>0.0</v>
      </c>
      <c r="F1151" s="104">
        <v>41.68</v>
      </c>
      <c r="G1151" s="104">
        <v>0.0</v>
      </c>
      <c r="H1151" s="112">
        <v>45681.0</v>
      </c>
      <c r="I1151" s="104">
        <v>0.0</v>
      </c>
      <c r="J1151" s="104">
        <v>0.0</v>
      </c>
      <c r="K1151" s="110" t="s">
        <v>2726</v>
      </c>
      <c r="L1151" s="84"/>
    </row>
    <row r="1152">
      <c r="A1152" s="110" t="s">
        <v>2139</v>
      </c>
      <c r="B1152" s="104">
        <v>0.0</v>
      </c>
      <c r="C1152" s="110" t="s">
        <v>386</v>
      </c>
      <c r="D1152" s="110" t="s">
        <v>210</v>
      </c>
      <c r="E1152" s="104">
        <v>0.0</v>
      </c>
      <c r="F1152" s="104">
        <v>35.0</v>
      </c>
      <c r="G1152" s="110" t="s">
        <v>238</v>
      </c>
      <c r="H1152" s="112">
        <v>45663.0</v>
      </c>
      <c r="I1152" s="104">
        <v>0.0</v>
      </c>
      <c r="J1152" s="104">
        <v>0.0</v>
      </c>
      <c r="K1152" s="110" t="s">
        <v>2727</v>
      </c>
      <c r="L1152" s="84"/>
    </row>
    <row r="1153">
      <c r="A1153" s="110" t="s">
        <v>2142</v>
      </c>
      <c r="B1153" s="104">
        <v>0.0</v>
      </c>
      <c r="C1153" s="110" t="s">
        <v>884</v>
      </c>
      <c r="D1153" s="110" t="s">
        <v>322</v>
      </c>
      <c r="E1153" s="104">
        <v>0.0</v>
      </c>
      <c r="F1153" s="104">
        <v>0.0</v>
      </c>
      <c r="G1153" s="104">
        <v>0.0</v>
      </c>
      <c r="H1153" s="104" t="s">
        <v>232</v>
      </c>
      <c r="I1153" s="104">
        <v>0.0</v>
      </c>
      <c r="J1153" s="104">
        <v>0.0</v>
      </c>
      <c r="K1153" s="110" t="s">
        <v>2728</v>
      </c>
      <c r="L1153" s="84"/>
    </row>
    <row r="1154">
      <c r="A1154" s="110" t="s">
        <v>2146</v>
      </c>
      <c r="B1154" s="110" t="s">
        <v>2729</v>
      </c>
      <c r="C1154" s="110" t="s">
        <v>714</v>
      </c>
      <c r="D1154" s="110" t="s">
        <v>322</v>
      </c>
      <c r="E1154" s="104">
        <v>0.0</v>
      </c>
      <c r="F1154" s="104">
        <v>8.76</v>
      </c>
      <c r="G1154" s="110" t="s">
        <v>2730</v>
      </c>
      <c r="H1154" s="112">
        <v>45813.0</v>
      </c>
      <c r="I1154" s="110" t="s">
        <v>2731</v>
      </c>
      <c r="J1154" s="104">
        <v>0.0</v>
      </c>
      <c r="K1154" s="110" t="s">
        <v>2732</v>
      </c>
      <c r="L1154" s="84"/>
    </row>
    <row r="1155">
      <c r="A1155" s="110" t="s">
        <v>2146</v>
      </c>
      <c r="B1155" s="110" t="s">
        <v>2729</v>
      </c>
      <c r="C1155" s="110" t="s">
        <v>714</v>
      </c>
      <c r="D1155" s="110" t="s">
        <v>322</v>
      </c>
      <c r="E1155" s="104">
        <v>0.0</v>
      </c>
      <c r="F1155" s="104">
        <v>7.74</v>
      </c>
      <c r="G1155" s="110" t="s">
        <v>1415</v>
      </c>
      <c r="H1155" s="112">
        <v>45813.0</v>
      </c>
      <c r="I1155" s="110" t="s">
        <v>2731</v>
      </c>
      <c r="J1155" s="104">
        <v>0.0</v>
      </c>
      <c r="K1155" s="110" t="s">
        <v>2732</v>
      </c>
      <c r="L1155" s="84"/>
    </row>
    <row r="1156">
      <c r="A1156" s="110" t="s">
        <v>2146</v>
      </c>
      <c r="B1156" s="110" t="s">
        <v>2729</v>
      </c>
      <c r="C1156" s="110" t="s">
        <v>714</v>
      </c>
      <c r="D1156" s="110" t="s">
        <v>322</v>
      </c>
      <c r="E1156" s="104">
        <v>0.0</v>
      </c>
      <c r="F1156" s="104">
        <v>6.07</v>
      </c>
      <c r="G1156" s="110" t="s">
        <v>2733</v>
      </c>
      <c r="H1156" s="112">
        <v>45813.0</v>
      </c>
      <c r="I1156" s="110" t="s">
        <v>2731</v>
      </c>
      <c r="J1156" s="104">
        <v>0.0</v>
      </c>
      <c r="K1156" s="110" t="s">
        <v>2732</v>
      </c>
      <c r="L1156" s="84"/>
    </row>
    <row r="1157">
      <c r="A1157" s="110" t="s">
        <v>2149</v>
      </c>
      <c r="B1157" s="104">
        <v>0.0</v>
      </c>
      <c r="C1157" s="110" t="s">
        <v>209</v>
      </c>
      <c r="D1157" s="110" t="s">
        <v>217</v>
      </c>
      <c r="E1157" s="104">
        <v>0.0</v>
      </c>
      <c r="F1157" s="104">
        <v>0.0</v>
      </c>
      <c r="G1157" s="104">
        <v>0.0</v>
      </c>
      <c r="H1157" s="104" t="s">
        <v>232</v>
      </c>
      <c r="I1157" s="104">
        <v>0.0</v>
      </c>
      <c r="J1157" s="104">
        <v>0.0</v>
      </c>
      <c r="K1157" s="110" t="s">
        <v>2734</v>
      </c>
      <c r="L1157" s="84"/>
    </row>
    <row r="1158">
      <c r="A1158" s="110" t="s">
        <v>2151</v>
      </c>
      <c r="B1158" s="104">
        <v>0.0</v>
      </c>
      <c r="C1158" s="110" t="s">
        <v>209</v>
      </c>
      <c r="D1158" s="110" t="s">
        <v>217</v>
      </c>
      <c r="E1158" s="104">
        <v>0.0</v>
      </c>
      <c r="F1158" s="104">
        <v>76.0</v>
      </c>
      <c r="G1158" s="110" t="s">
        <v>238</v>
      </c>
      <c r="H1158" s="112">
        <v>45985.0</v>
      </c>
      <c r="I1158" s="110" t="s">
        <v>2735</v>
      </c>
      <c r="J1158" s="104">
        <v>0.0</v>
      </c>
      <c r="K1158" s="110" t="s">
        <v>2736</v>
      </c>
      <c r="L1158" s="84"/>
    </row>
    <row r="1159">
      <c r="A1159" s="110" t="s">
        <v>2153</v>
      </c>
      <c r="B1159" s="110" t="s">
        <v>2153</v>
      </c>
      <c r="C1159" s="110" t="s">
        <v>405</v>
      </c>
      <c r="D1159" s="110" t="s">
        <v>210</v>
      </c>
      <c r="E1159" s="104">
        <v>0.0</v>
      </c>
      <c r="F1159" s="104">
        <v>510.0</v>
      </c>
      <c r="G1159" s="110" t="s">
        <v>211</v>
      </c>
      <c r="H1159" s="112">
        <v>44887.0</v>
      </c>
      <c r="I1159" s="104">
        <v>0.0</v>
      </c>
      <c r="J1159" s="104">
        <v>0.0</v>
      </c>
      <c r="K1159" s="110" t="s">
        <v>2737</v>
      </c>
      <c r="L1159" s="84"/>
    </row>
    <row r="1160">
      <c r="A1160" s="110" t="s">
        <v>2154</v>
      </c>
      <c r="B1160" s="104">
        <v>0.0</v>
      </c>
      <c r="C1160" s="110" t="s">
        <v>209</v>
      </c>
      <c r="D1160" s="110" t="s">
        <v>217</v>
      </c>
      <c r="E1160" s="104">
        <v>0.0</v>
      </c>
      <c r="F1160" s="104">
        <v>0.0</v>
      </c>
      <c r="G1160" s="104">
        <v>0.0</v>
      </c>
      <c r="H1160" s="104" t="s">
        <v>232</v>
      </c>
      <c r="I1160" s="104">
        <v>0.0</v>
      </c>
      <c r="J1160" s="104">
        <v>0.0</v>
      </c>
      <c r="K1160" s="110" t="s">
        <v>2738</v>
      </c>
      <c r="L1160" s="84"/>
    </row>
    <row r="1161">
      <c r="A1161" s="110" t="s">
        <v>2155</v>
      </c>
      <c r="B1161" s="110" t="s">
        <v>2739</v>
      </c>
      <c r="C1161" s="110" t="s">
        <v>720</v>
      </c>
      <c r="D1161" s="110" t="s">
        <v>210</v>
      </c>
      <c r="E1161" s="104">
        <v>0.0</v>
      </c>
      <c r="F1161" s="104">
        <v>44.0</v>
      </c>
      <c r="G1161" s="110" t="s">
        <v>721</v>
      </c>
      <c r="H1161" s="112">
        <v>45741.0</v>
      </c>
      <c r="I1161" s="104">
        <v>0.0</v>
      </c>
      <c r="J1161" s="104">
        <v>0.0</v>
      </c>
      <c r="K1161" s="110" t="s">
        <v>2740</v>
      </c>
      <c r="L1161" s="84"/>
    </row>
    <row r="1162">
      <c r="A1162" s="110" t="s">
        <v>2155</v>
      </c>
      <c r="B1162" s="110" t="s">
        <v>2739</v>
      </c>
      <c r="C1162" s="110" t="s">
        <v>720</v>
      </c>
      <c r="D1162" s="110" t="s">
        <v>210</v>
      </c>
      <c r="E1162" s="104">
        <v>0.0</v>
      </c>
      <c r="F1162" s="104">
        <v>41.0</v>
      </c>
      <c r="G1162" s="110" t="s">
        <v>724</v>
      </c>
      <c r="H1162" s="112">
        <v>45741.0</v>
      </c>
      <c r="I1162" s="104">
        <v>0.0</v>
      </c>
      <c r="J1162" s="104">
        <v>0.0</v>
      </c>
      <c r="K1162" s="110" t="s">
        <v>2740</v>
      </c>
      <c r="L1162" s="84"/>
    </row>
    <row r="1163">
      <c r="A1163" s="110" t="s">
        <v>2155</v>
      </c>
      <c r="B1163" s="110" t="s">
        <v>2739</v>
      </c>
      <c r="C1163" s="110" t="s">
        <v>720</v>
      </c>
      <c r="D1163" s="110" t="s">
        <v>210</v>
      </c>
      <c r="E1163" s="104">
        <v>0.0</v>
      </c>
      <c r="F1163" s="104">
        <v>37.0</v>
      </c>
      <c r="G1163" s="110" t="s">
        <v>726</v>
      </c>
      <c r="H1163" s="112">
        <v>45741.0</v>
      </c>
      <c r="I1163" s="104">
        <v>0.0</v>
      </c>
      <c r="J1163" s="104">
        <v>0.0</v>
      </c>
      <c r="K1163" s="110" t="s">
        <v>2740</v>
      </c>
      <c r="L1163" s="84"/>
    </row>
    <row r="1164">
      <c r="A1164" s="110" t="s">
        <v>2155</v>
      </c>
      <c r="B1164" s="110" t="s">
        <v>2739</v>
      </c>
      <c r="C1164" s="110" t="s">
        <v>720</v>
      </c>
      <c r="D1164" s="110" t="s">
        <v>210</v>
      </c>
      <c r="E1164" s="104">
        <v>0.0</v>
      </c>
      <c r="F1164" s="104">
        <v>36.0</v>
      </c>
      <c r="G1164" s="110" t="s">
        <v>728</v>
      </c>
      <c r="H1164" s="112">
        <v>45741.0</v>
      </c>
      <c r="I1164" s="104">
        <v>0.0</v>
      </c>
      <c r="J1164" s="104">
        <v>0.0</v>
      </c>
      <c r="K1164" s="110" t="s">
        <v>2740</v>
      </c>
      <c r="L1164" s="84"/>
    </row>
    <row r="1165">
      <c r="A1165" s="110" t="s">
        <v>2157</v>
      </c>
      <c r="B1165" s="104">
        <v>0.0</v>
      </c>
      <c r="C1165" s="110" t="s">
        <v>925</v>
      </c>
      <c r="D1165" s="110" t="s">
        <v>210</v>
      </c>
      <c r="E1165" s="104">
        <v>0.0</v>
      </c>
      <c r="F1165" s="104">
        <v>10.0</v>
      </c>
      <c r="G1165" s="110" t="s">
        <v>238</v>
      </c>
      <c r="H1165" s="112">
        <v>45980.0</v>
      </c>
      <c r="I1165" s="110" t="s">
        <v>2157</v>
      </c>
      <c r="J1165" s="104">
        <v>0.0</v>
      </c>
      <c r="K1165" s="110" t="s">
        <v>2741</v>
      </c>
      <c r="L1165" s="84"/>
    </row>
    <row r="1166">
      <c r="A1166" s="110" t="s">
        <v>2159</v>
      </c>
      <c r="B1166" s="104">
        <v>0.0</v>
      </c>
      <c r="C1166" s="110" t="s">
        <v>720</v>
      </c>
      <c r="D1166" s="110" t="s">
        <v>210</v>
      </c>
      <c r="E1166" s="104">
        <v>0.0</v>
      </c>
      <c r="F1166" s="104">
        <v>44.0</v>
      </c>
      <c r="G1166" s="110" t="s">
        <v>211</v>
      </c>
      <c r="H1166" s="112">
        <v>45979.0</v>
      </c>
      <c r="I1166" s="110" t="s">
        <v>2742</v>
      </c>
      <c r="J1166" s="104">
        <v>0.0</v>
      </c>
      <c r="K1166" s="110" t="s">
        <v>2743</v>
      </c>
      <c r="L1166" s="84"/>
    </row>
    <row r="1167">
      <c r="A1167" s="110" t="s">
        <v>2161</v>
      </c>
      <c r="B1167" s="104">
        <v>0.0</v>
      </c>
      <c r="C1167" s="110" t="s">
        <v>331</v>
      </c>
      <c r="D1167" s="110" t="s">
        <v>612</v>
      </c>
      <c r="E1167" s="104">
        <v>0.0</v>
      </c>
      <c r="F1167" s="104">
        <v>12.0</v>
      </c>
      <c r="G1167" s="110" t="s">
        <v>218</v>
      </c>
      <c r="H1167" s="112">
        <v>45953.0</v>
      </c>
      <c r="I1167" s="110" t="s">
        <v>2744</v>
      </c>
      <c r="J1167" s="104">
        <v>0.0</v>
      </c>
      <c r="K1167" s="110" t="s">
        <v>2745</v>
      </c>
      <c r="L1167" s="84"/>
    </row>
    <row r="1168">
      <c r="A1168" s="110" t="s">
        <v>2163</v>
      </c>
      <c r="B1168" s="104">
        <v>0.0</v>
      </c>
      <c r="C1168" s="110" t="s">
        <v>348</v>
      </c>
      <c r="D1168" s="110" t="s">
        <v>612</v>
      </c>
      <c r="E1168" s="104">
        <v>0.0</v>
      </c>
      <c r="F1168" s="104">
        <v>0.0</v>
      </c>
      <c r="G1168" s="104">
        <v>0.0</v>
      </c>
      <c r="H1168" s="112">
        <v>45869.0</v>
      </c>
      <c r="I1168" s="110" t="s">
        <v>2163</v>
      </c>
      <c r="J1168" s="104">
        <v>0.0</v>
      </c>
      <c r="K1168" s="110" t="s">
        <v>2746</v>
      </c>
      <c r="L1168" s="84"/>
    </row>
    <row r="1169">
      <c r="A1169" s="110" t="s">
        <v>2165</v>
      </c>
      <c r="B1169" s="104">
        <v>0.0</v>
      </c>
      <c r="C1169" s="110" t="s">
        <v>348</v>
      </c>
      <c r="D1169" s="110" t="s">
        <v>612</v>
      </c>
      <c r="E1169" s="104">
        <v>0.0</v>
      </c>
      <c r="F1169" s="104">
        <v>10.46</v>
      </c>
      <c r="G1169" s="110" t="s">
        <v>2747</v>
      </c>
      <c r="H1169" s="112">
        <v>45856.0</v>
      </c>
      <c r="I1169" s="104">
        <v>0.0</v>
      </c>
      <c r="J1169" s="104">
        <v>0.0</v>
      </c>
      <c r="K1169" s="110" t="s">
        <v>2748</v>
      </c>
      <c r="L1169" s="84"/>
    </row>
    <row r="1170">
      <c r="A1170" s="110" t="s">
        <v>2167</v>
      </c>
      <c r="B1170" s="104">
        <v>0.0</v>
      </c>
      <c r="C1170" s="110" t="s">
        <v>261</v>
      </c>
      <c r="D1170" s="110" t="s">
        <v>612</v>
      </c>
      <c r="E1170" s="104">
        <v>0.0</v>
      </c>
      <c r="F1170" s="104">
        <v>9.17</v>
      </c>
      <c r="G1170" s="110" t="s">
        <v>206</v>
      </c>
      <c r="H1170" s="112">
        <v>45916.0</v>
      </c>
      <c r="I1170" s="110" t="s">
        <v>2749</v>
      </c>
      <c r="J1170" s="104">
        <v>0.0</v>
      </c>
      <c r="K1170" s="110" t="s">
        <v>2750</v>
      </c>
      <c r="L1170" s="84"/>
    </row>
    <row r="1171">
      <c r="A1171" s="110" t="s">
        <v>2169</v>
      </c>
      <c r="B1171" s="104">
        <v>0.0</v>
      </c>
      <c r="C1171" s="110" t="s">
        <v>562</v>
      </c>
      <c r="D1171" s="110" t="s">
        <v>210</v>
      </c>
      <c r="E1171" s="104">
        <v>0.0</v>
      </c>
      <c r="F1171" s="104">
        <v>18.45</v>
      </c>
      <c r="G1171" s="110" t="s">
        <v>238</v>
      </c>
      <c r="H1171" s="112">
        <v>45912.0</v>
      </c>
      <c r="I1171" s="110" t="s">
        <v>2169</v>
      </c>
      <c r="J1171" s="104">
        <v>0.0</v>
      </c>
      <c r="K1171" s="110" t="s">
        <v>2751</v>
      </c>
      <c r="L1171" s="84"/>
    </row>
    <row r="1172">
      <c r="A1172" s="110" t="s">
        <v>2171</v>
      </c>
      <c r="B1172" s="104">
        <v>0.0</v>
      </c>
      <c r="C1172" s="110" t="s">
        <v>331</v>
      </c>
      <c r="D1172" s="104">
        <v>0.0</v>
      </c>
      <c r="E1172" s="104">
        <v>0.0</v>
      </c>
      <c r="F1172" s="104">
        <v>35.0</v>
      </c>
      <c r="G1172" s="110" t="s">
        <v>540</v>
      </c>
      <c r="H1172" s="112">
        <v>45817.0</v>
      </c>
      <c r="I1172" s="110" t="s">
        <v>2752</v>
      </c>
      <c r="J1172" s="104">
        <v>0.0</v>
      </c>
      <c r="K1172" s="110" t="s">
        <v>2753</v>
      </c>
      <c r="L1172" s="84"/>
    </row>
    <row r="1173">
      <c r="A1173" s="110" t="s">
        <v>2173</v>
      </c>
      <c r="B1173" s="104">
        <v>0.0</v>
      </c>
      <c r="C1173" s="110" t="s">
        <v>273</v>
      </c>
      <c r="D1173" s="110" t="s">
        <v>612</v>
      </c>
      <c r="E1173" s="104">
        <v>0.0</v>
      </c>
      <c r="F1173" s="104">
        <v>41.25</v>
      </c>
      <c r="G1173" s="110" t="s">
        <v>238</v>
      </c>
      <c r="H1173" s="112">
        <v>45922.0</v>
      </c>
      <c r="I1173" s="110" t="s">
        <v>2173</v>
      </c>
      <c r="J1173" s="104">
        <v>0.0</v>
      </c>
      <c r="K1173" s="110" t="s">
        <v>2754</v>
      </c>
      <c r="L1173" s="84"/>
    </row>
    <row r="1174">
      <c r="A1174" s="110" t="s">
        <v>2174</v>
      </c>
      <c r="B1174" s="104">
        <v>0.0</v>
      </c>
      <c r="C1174" s="110" t="s">
        <v>273</v>
      </c>
      <c r="D1174" s="110" t="s">
        <v>612</v>
      </c>
      <c r="E1174" s="104">
        <v>0.0</v>
      </c>
      <c r="F1174" s="104">
        <v>41.25</v>
      </c>
      <c r="G1174" s="110" t="s">
        <v>238</v>
      </c>
      <c r="H1174" s="112">
        <v>45922.0</v>
      </c>
      <c r="I1174" s="110" t="s">
        <v>2174</v>
      </c>
      <c r="J1174" s="104">
        <v>0.0</v>
      </c>
      <c r="K1174" s="110" t="s">
        <v>2755</v>
      </c>
      <c r="L1174" s="84"/>
    </row>
    <row r="1175">
      <c r="A1175" s="110" t="s">
        <v>2176</v>
      </c>
      <c r="B1175" s="104">
        <v>0.0</v>
      </c>
      <c r="C1175" s="110" t="s">
        <v>618</v>
      </c>
      <c r="D1175" s="110" t="s">
        <v>217</v>
      </c>
      <c r="E1175" s="104">
        <v>0.0</v>
      </c>
      <c r="F1175" s="104">
        <v>9.16</v>
      </c>
      <c r="G1175" s="110" t="s">
        <v>373</v>
      </c>
      <c r="H1175" s="112">
        <v>45698.0</v>
      </c>
      <c r="I1175" s="110" t="s">
        <v>2176</v>
      </c>
      <c r="J1175" s="104">
        <v>0.0</v>
      </c>
      <c r="K1175" s="110" t="s">
        <v>2756</v>
      </c>
      <c r="L1175" s="84"/>
    </row>
    <row r="1176">
      <c r="A1176" s="110" t="s">
        <v>2176</v>
      </c>
      <c r="B1176" s="104">
        <v>0.0</v>
      </c>
      <c r="C1176" s="110" t="s">
        <v>209</v>
      </c>
      <c r="D1176" s="110" t="s">
        <v>217</v>
      </c>
      <c r="E1176" s="104">
        <v>0.0</v>
      </c>
      <c r="F1176" s="104">
        <v>7.5</v>
      </c>
      <c r="G1176" s="110" t="s">
        <v>334</v>
      </c>
      <c r="H1176" s="112">
        <v>45698.0</v>
      </c>
      <c r="I1176" s="110" t="s">
        <v>2176</v>
      </c>
      <c r="J1176" s="104">
        <v>0.0</v>
      </c>
      <c r="K1176" s="110" t="s">
        <v>2757</v>
      </c>
      <c r="L1176" s="84"/>
    </row>
    <row r="1177">
      <c r="A1177" s="110" t="s">
        <v>2176</v>
      </c>
      <c r="B1177" s="104">
        <v>0.0</v>
      </c>
      <c r="C1177" s="110" t="s">
        <v>261</v>
      </c>
      <c r="D1177" s="110" t="s">
        <v>217</v>
      </c>
      <c r="E1177" s="104">
        <v>0.0</v>
      </c>
      <c r="F1177" s="104">
        <v>26.0</v>
      </c>
      <c r="G1177" s="104">
        <v>25.0</v>
      </c>
      <c r="H1177" s="112">
        <v>45821.0</v>
      </c>
      <c r="I1177" s="110" t="s">
        <v>2758</v>
      </c>
      <c r="J1177" s="104">
        <v>0.0</v>
      </c>
      <c r="K1177" s="110" t="s">
        <v>2759</v>
      </c>
      <c r="L1177" s="84"/>
    </row>
    <row r="1178">
      <c r="A1178" s="110" t="s">
        <v>2178</v>
      </c>
      <c r="B1178" s="104">
        <v>0.0</v>
      </c>
      <c r="C1178" s="110" t="s">
        <v>2539</v>
      </c>
      <c r="D1178" s="104">
        <v>0.0</v>
      </c>
      <c r="E1178" s="104">
        <v>0.0</v>
      </c>
      <c r="F1178" s="104">
        <v>35.68</v>
      </c>
      <c r="G1178" s="110" t="s">
        <v>238</v>
      </c>
      <c r="H1178" s="112">
        <v>45883.0</v>
      </c>
      <c r="I1178" s="110" t="s">
        <v>2178</v>
      </c>
      <c r="J1178" s="104">
        <v>0.0</v>
      </c>
      <c r="K1178" s="110" t="s">
        <v>2760</v>
      </c>
      <c r="L1178" s="84"/>
    </row>
    <row r="1179">
      <c r="A1179" s="110" t="s">
        <v>2181</v>
      </c>
      <c r="B1179" s="104">
        <v>0.0</v>
      </c>
      <c r="C1179" s="110" t="s">
        <v>209</v>
      </c>
      <c r="D1179" s="110" t="s">
        <v>322</v>
      </c>
      <c r="E1179" s="104">
        <v>0.0</v>
      </c>
      <c r="F1179" s="104">
        <v>7.72</v>
      </c>
      <c r="G1179" s="110" t="s">
        <v>257</v>
      </c>
      <c r="H1179" s="112">
        <v>45828.0</v>
      </c>
      <c r="I1179" s="110" t="s">
        <v>2181</v>
      </c>
      <c r="J1179" s="104">
        <v>0.0</v>
      </c>
      <c r="K1179" s="110" t="s">
        <v>2761</v>
      </c>
      <c r="L1179" s="84"/>
    </row>
    <row r="1180">
      <c r="A1180" s="110" t="s">
        <v>2185</v>
      </c>
      <c r="B1180" s="104">
        <v>0.0</v>
      </c>
      <c r="C1180" s="110" t="s">
        <v>200</v>
      </c>
      <c r="D1180" s="110" t="s">
        <v>322</v>
      </c>
      <c r="E1180" s="104">
        <v>0.0</v>
      </c>
      <c r="F1180" s="104">
        <v>1.9</v>
      </c>
      <c r="G1180" s="110" t="s">
        <v>257</v>
      </c>
      <c r="H1180" s="112">
        <v>45827.0</v>
      </c>
      <c r="I1180" s="110" t="s">
        <v>2185</v>
      </c>
      <c r="J1180" s="104">
        <v>0.0</v>
      </c>
      <c r="K1180" s="110" t="s">
        <v>2762</v>
      </c>
      <c r="L1180" s="84"/>
    </row>
    <row r="1181">
      <c r="A1181" s="110" t="s">
        <v>2188</v>
      </c>
      <c r="B1181" s="104">
        <v>0.0</v>
      </c>
      <c r="C1181" s="110" t="s">
        <v>261</v>
      </c>
      <c r="D1181" s="110" t="s">
        <v>322</v>
      </c>
      <c r="E1181" s="104">
        <v>0.0</v>
      </c>
      <c r="F1181" s="104">
        <v>3.31</v>
      </c>
      <c r="G1181" s="110" t="s">
        <v>2092</v>
      </c>
      <c r="H1181" s="112">
        <v>45827.0</v>
      </c>
      <c r="I1181" s="104">
        <v>0.0</v>
      </c>
      <c r="J1181" s="104">
        <v>0.0</v>
      </c>
      <c r="K1181" s="110" t="s">
        <v>2763</v>
      </c>
      <c r="L1181" s="84"/>
    </row>
    <row r="1182">
      <c r="A1182" s="110" t="s">
        <v>2188</v>
      </c>
      <c r="B1182" s="104">
        <v>0.0</v>
      </c>
      <c r="C1182" s="110" t="s">
        <v>261</v>
      </c>
      <c r="D1182" s="110" t="s">
        <v>322</v>
      </c>
      <c r="E1182" s="104">
        <v>0.0</v>
      </c>
      <c r="F1182" s="104">
        <v>2.65</v>
      </c>
      <c r="G1182" s="110" t="s">
        <v>2764</v>
      </c>
      <c r="H1182" s="112">
        <v>45827.0</v>
      </c>
      <c r="I1182" s="104">
        <v>0.0</v>
      </c>
      <c r="J1182" s="104">
        <v>0.0</v>
      </c>
      <c r="K1182" s="110" t="s">
        <v>2763</v>
      </c>
      <c r="L1182" s="84"/>
    </row>
    <row r="1183">
      <c r="A1183" s="110" t="s">
        <v>2188</v>
      </c>
      <c r="B1183" s="104">
        <v>0.0</v>
      </c>
      <c r="C1183" s="110" t="s">
        <v>261</v>
      </c>
      <c r="D1183" s="110" t="s">
        <v>322</v>
      </c>
      <c r="E1183" s="104">
        <v>0.0</v>
      </c>
      <c r="F1183" s="104">
        <v>2.16</v>
      </c>
      <c r="G1183" s="110" t="s">
        <v>2765</v>
      </c>
      <c r="H1183" s="112">
        <v>45827.0</v>
      </c>
      <c r="I1183" s="104">
        <v>0.0</v>
      </c>
      <c r="J1183" s="104">
        <v>0.0</v>
      </c>
      <c r="K1183" s="110" t="s">
        <v>2763</v>
      </c>
      <c r="L1183" s="84"/>
    </row>
    <row r="1184">
      <c r="A1184" s="110" t="s">
        <v>2191</v>
      </c>
      <c r="B1184" s="104">
        <v>0.0</v>
      </c>
      <c r="C1184" s="110" t="s">
        <v>365</v>
      </c>
      <c r="D1184" s="110" t="s">
        <v>322</v>
      </c>
      <c r="E1184" s="104">
        <v>0.0</v>
      </c>
      <c r="F1184" s="104">
        <v>0.0</v>
      </c>
      <c r="G1184" s="104">
        <v>0.0</v>
      </c>
      <c r="H1184" s="104" t="s">
        <v>232</v>
      </c>
      <c r="I1184" s="104">
        <v>0.0</v>
      </c>
      <c r="J1184" s="104">
        <v>0.0</v>
      </c>
      <c r="K1184" s="110" t="s">
        <v>2766</v>
      </c>
      <c r="L1184" s="84"/>
    </row>
    <row r="1185">
      <c r="A1185" s="110" t="s">
        <v>2193</v>
      </c>
      <c r="B1185" s="104">
        <v>0.0</v>
      </c>
      <c r="C1185" s="110" t="s">
        <v>200</v>
      </c>
      <c r="D1185" s="110" t="s">
        <v>322</v>
      </c>
      <c r="E1185" s="104">
        <v>0.0</v>
      </c>
      <c r="F1185" s="104">
        <v>0.64</v>
      </c>
      <c r="G1185" s="104">
        <v>0.0</v>
      </c>
      <c r="H1185" s="112">
        <v>44764.0</v>
      </c>
      <c r="I1185" s="104">
        <v>0.0</v>
      </c>
      <c r="J1185" s="104">
        <v>0.0</v>
      </c>
      <c r="K1185" s="110" t="s">
        <v>2767</v>
      </c>
      <c r="L1185" s="84"/>
    </row>
    <row r="1186">
      <c r="A1186" s="110" t="s">
        <v>2195</v>
      </c>
      <c r="B1186" s="104">
        <v>0.0</v>
      </c>
      <c r="C1186" s="110" t="s">
        <v>261</v>
      </c>
      <c r="D1186" s="110" t="s">
        <v>322</v>
      </c>
      <c r="E1186" s="104">
        <v>0.0</v>
      </c>
      <c r="F1186" s="104">
        <v>4.75</v>
      </c>
      <c r="G1186" s="110" t="s">
        <v>2768</v>
      </c>
      <c r="H1186" s="112">
        <v>45734.0</v>
      </c>
      <c r="I1186" s="110" t="s">
        <v>2193</v>
      </c>
      <c r="J1186" s="104">
        <v>0.0</v>
      </c>
      <c r="K1186" s="110" t="s">
        <v>2769</v>
      </c>
      <c r="L1186" s="84"/>
    </row>
    <row r="1187">
      <c r="A1187" s="110" t="s">
        <v>2195</v>
      </c>
      <c r="B1187" s="104">
        <v>0.0</v>
      </c>
      <c r="C1187" s="110" t="s">
        <v>261</v>
      </c>
      <c r="D1187" s="110" t="s">
        <v>322</v>
      </c>
      <c r="E1187" s="104">
        <v>0.0</v>
      </c>
      <c r="F1187" s="104">
        <v>3.97</v>
      </c>
      <c r="G1187" s="110" t="s">
        <v>2770</v>
      </c>
      <c r="H1187" s="112">
        <v>45953.0</v>
      </c>
      <c r="I1187" s="110" t="s">
        <v>2193</v>
      </c>
      <c r="J1187" s="104">
        <v>0.0</v>
      </c>
      <c r="K1187" s="110" t="s">
        <v>2769</v>
      </c>
      <c r="L1187" s="84"/>
    </row>
    <row r="1188">
      <c r="A1188" s="110" t="s">
        <v>2195</v>
      </c>
      <c r="B1188" s="104">
        <v>0.0</v>
      </c>
      <c r="C1188" s="110" t="s">
        <v>261</v>
      </c>
      <c r="D1188" s="110" t="s">
        <v>322</v>
      </c>
      <c r="E1188" s="104">
        <v>0.0</v>
      </c>
      <c r="F1188" s="104">
        <v>2.43</v>
      </c>
      <c r="G1188" s="110" t="s">
        <v>2771</v>
      </c>
      <c r="H1188" s="112">
        <v>45806.0</v>
      </c>
      <c r="I1188" s="110" t="s">
        <v>2193</v>
      </c>
      <c r="J1188" s="104">
        <v>0.0</v>
      </c>
      <c r="K1188" s="110" t="s">
        <v>2769</v>
      </c>
      <c r="L1188" s="84"/>
    </row>
    <row r="1189">
      <c r="A1189" s="110" t="s">
        <v>2197</v>
      </c>
      <c r="B1189" s="104">
        <v>0.0</v>
      </c>
      <c r="C1189" s="110" t="s">
        <v>261</v>
      </c>
      <c r="D1189" s="110" t="s">
        <v>322</v>
      </c>
      <c r="E1189" s="104">
        <v>0.0</v>
      </c>
      <c r="F1189" s="104">
        <v>5.51</v>
      </c>
      <c r="G1189" s="110" t="s">
        <v>2528</v>
      </c>
      <c r="H1189" s="112">
        <v>45953.0</v>
      </c>
      <c r="I1189" s="110" t="s">
        <v>2193</v>
      </c>
      <c r="J1189" s="104">
        <v>0.0</v>
      </c>
      <c r="K1189" s="110" t="s">
        <v>2772</v>
      </c>
      <c r="L1189" s="84"/>
    </row>
    <row r="1190">
      <c r="A1190" s="110" t="s">
        <v>2200</v>
      </c>
      <c r="B1190" s="104">
        <v>0.0</v>
      </c>
      <c r="C1190" s="110" t="s">
        <v>221</v>
      </c>
      <c r="D1190" s="104">
        <v>0.0</v>
      </c>
      <c r="E1190" s="104">
        <v>0.0</v>
      </c>
      <c r="F1190" s="104">
        <v>6.83</v>
      </c>
      <c r="G1190" s="110" t="s">
        <v>257</v>
      </c>
      <c r="H1190" s="112">
        <v>45807.0</v>
      </c>
      <c r="I1190" s="104">
        <v>0.0</v>
      </c>
      <c r="J1190" s="104">
        <v>0.0</v>
      </c>
      <c r="K1190" s="110" t="s">
        <v>2773</v>
      </c>
      <c r="L1190" s="84"/>
    </row>
    <row r="1191">
      <c r="A1191" s="110" t="s">
        <v>2200</v>
      </c>
      <c r="B1191" s="104">
        <v>0.0</v>
      </c>
      <c r="C1191" s="110" t="s">
        <v>839</v>
      </c>
      <c r="D1191" s="110" t="s">
        <v>322</v>
      </c>
      <c r="E1191" s="104">
        <v>0.0</v>
      </c>
      <c r="F1191" s="104">
        <v>3.13</v>
      </c>
      <c r="G1191" s="110" t="s">
        <v>2774</v>
      </c>
      <c r="H1191" s="112">
        <v>45980.0</v>
      </c>
      <c r="I1191" s="104">
        <v>0.0</v>
      </c>
      <c r="J1191" s="104">
        <v>0.0</v>
      </c>
      <c r="K1191" s="110" t="s">
        <v>2775</v>
      </c>
      <c r="L1191" s="84"/>
    </row>
    <row r="1192">
      <c r="A1192" s="110" t="s">
        <v>2205</v>
      </c>
      <c r="B1192" s="104">
        <v>0.0</v>
      </c>
      <c r="C1192" s="110" t="s">
        <v>221</v>
      </c>
      <c r="D1192" s="110" t="s">
        <v>322</v>
      </c>
      <c r="E1192" s="104">
        <v>0.0</v>
      </c>
      <c r="F1192" s="104">
        <v>6.83</v>
      </c>
      <c r="G1192" s="110" t="s">
        <v>328</v>
      </c>
      <c r="H1192" s="112">
        <v>45982.0</v>
      </c>
      <c r="I1192" s="110" t="s">
        <v>2205</v>
      </c>
      <c r="J1192" s="104">
        <v>0.0</v>
      </c>
      <c r="K1192" s="110" t="s">
        <v>2776</v>
      </c>
      <c r="L1192" s="84"/>
    </row>
    <row r="1193">
      <c r="A1193" s="110" t="s">
        <v>2207</v>
      </c>
      <c r="B1193" s="104">
        <v>0.0</v>
      </c>
      <c r="C1193" s="110" t="s">
        <v>209</v>
      </c>
      <c r="D1193" s="110" t="s">
        <v>217</v>
      </c>
      <c r="E1193" s="104">
        <v>0.0</v>
      </c>
      <c r="F1193" s="104">
        <v>0.0</v>
      </c>
      <c r="G1193" s="104">
        <v>0.0</v>
      </c>
      <c r="H1193" s="104" t="s">
        <v>232</v>
      </c>
      <c r="I1193" s="104">
        <v>0.0</v>
      </c>
      <c r="J1193" s="104">
        <v>0.0</v>
      </c>
      <c r="K1193" s="110" t="s">
        <v>2777</v>
      </c>
      <c r="L1193" s="84"/>
    </row>
    <row r="1194">
      <c r="A1194" s="110" t="s">
        <v>2209</v>
      </c>
      <c r="B1194" s="104">
        <v>0.0</v>
      </c>
      <c r="C1194" s="110" t="s">
        <v>221</v>
      </c>
      <c r="D1194" s="104">
        <v>0.0</v>
      </c>
      <c r="E1194" s="104">
        <v>0.0</v>
      </c>
      <c r="F1194" s="110" t="s">
        <v>222</v>
      </c>
      <c r="G1194" s="110" t="s">
        <v>257</v>
      </c>
      <c r="H1194" s="112">
        <v>45807.0</v>
      </c>
      <c r="I1194" s="104">
        <v>0.0</v>
      </c>
      <c r="J1194" s="104">
        <v>0.0</v>
      </c>
      <c r="K1194" s="110" t="s">
        <v>2778</v>
      </c>
      <c r="L1194" s="84"/>
    </row>
    <row r="1195">
      <c r="A1195" s="110" t="s">
        <v>2211</v>
      </c>
      <c r="B1195" s="104">
        <v>0.0</v>
      </c>
      <c r="C1195" s="110" t="s">
        <v>221</v>
      </c>
      <c r="D1195" s="110" t="s">
        <v>322</v>
      </c>
      <c r="E1195" s="104">
        <v>0.0</v>
      </c>
      <c r="F1195" s="110" t="s">
        <v>227</v>
      </c>
      <c r="G1195" s="110" t="s">
        <v>328</v>
      </c>
      <c r="H1195" s="112">
        <v>45854.0</v>
      </c>
      <c r="I1195" s="104">
        <v>0.0</v>
      </c>
      <c r="J1195" s="104">
        <v>0.0</v>
      </c>
      <c r="K1195" s="110" t="s">
        <v>2779</v>
      </c>
      <c r="L1195" s="84"/>
    </row>
    <row r="1196">
      <c r="A1196" s="110" t="s">
        <v>2213</v>
      </c>
      <c r="B1196" s="110" t="s">
        <v>690</v>
      </c>
      <c r="C1196" s="110" t="s">
        <v>261</v>
      </c>
      <c r="D1196" s="110" t="s">
        <v>322</v>
      </c>
      <c r="E1196" s="104">
        <v>0.0</v>
      </c>
      <c r="F1196" s="104">
        <v>3.95</v>
      </c>
      <c r="G1196" s="110" t="s">
        <v>262</v>
      </c>
      <c r="H1196" s="112">
        <v>45874.0</v>
      </c>
      <c r="I1196" s="110" t="s">
        <v>2213</v>
      </c>
      <c r="J1196" s="104">
        <v>0.0</v>
      </c>
      <c r="K1196" s="110" t="s">
        <v>2780</v>
      </c>
      <c r="L1196" s="84"/>
    </row>
    <row r="1197">
      <c r="A1197" s="110" t="s">
        <v>2215</v>
      </c>
      <c r="B1197" s="104">
        <v>0.0</v>
      </c>
      <c r="C1197" s="110" t="s">
        <v>386</v>
      </c>
      <c r="D1197" s="110" t="s">
        <v>217</v>
      </c>
      <c r="E1197" s="104">
        <v>0.0</v>
      </c>
      <c r="F1197" s="104">
        <v>98.0</v>
      </c>
      <c r="G1197" s="110" t="s">
        <v>238</v>
      </c>
      <c r="H1197" s="112">
        <v>45883.0</v>
      </c>
      <c r="I1197" s="110" t="s">
        <v>2215</v>
      </c>
      <c r="J1197" s="104">
        <v>0.0</v>
      </c>
      <c r="K1197" s="110" t="s">
        <v>2781</v>
      </c>
      <c r="L1197" s="84"/>
    </row>
    <row r="1198">
      <c r="A1198" s="110" t="s">
        <v>2215</v>
      </c>
      <c r="B1198" s="104">
        <v>0.0</v>
      </c>
      <c r="C1198" s="110" t="s">
        <v>209</v>
      </c>
      <c r="D1198" s="110" t="s">
        <v>217</v>
      </c>
      <c r="E1198" s="104">
        <v>0.0</v>
      </c>
      <c r="F1198" s="104">
        <v>98.0</v>
      </c>
      <c r="G1198" s="110" t="s">
        <v>302</v>
      </c>
      <c r="H1198" s="112">
        <v>45915.0</v>
      </c>
      <c r="I1198" s="110" t="s">
        <v>2215</v>
      </c>
      <c r="J1198" s="104">
        <v>0.0</v>
      </c>
      <c r="K1198" s="110" t="s">
        <v>2782</v>
      </c>
      <c r="L1198" s="84"/>
    </row>
    <row r="1199">
      <c r="A1199" s="110" t="s">
        <v>2219</v>
      </c>
      <c r="B1199" s="104">
        <v>0.0</v>
      </c>
      <c r="C1199" s="110" t="s">
        <v>317</v>
      </c>
      <c r="D1199" s="110" t="s">
        <v>322</v>
      </c>
      <c r="E1199" s="104">
        <v>0.0</v>
      </c>
      <c r="F1199" s="104">
        <v>95.0</v>
      </c>
      <c r="G1199" s="104">
        <v>0.0</v>
      </c>
      <c r="H1199" s="112">
        <v>45874.0</v>
      </c>
      <c r="I1199" s="104">
        <v>0.0</v>
      </c>
      <c r="J1199" s="104">
        <v>0.0</v>
      </c>
      <c r="K1199" s="110" t="s">
        <v>2783</v>
      </c>
      <c r="L1199" s="84"/>
    </row>
    <row r="1200">
      <c r="A1200" s="110" t="s">
        <v>2221</v>
      </c>
      <c r="B1200" s="104">
        <v>0.0</v>
      </c>
      <c r="C1200" s="110" t="s">
        <v>200</v>
      </c>
      <c r="D1200" s="110" t="s">
        <v>322</v>
      </c>
      <c r="E1200" s="104">
        <v>0.0</v>
      </c>
      <c r="F1200" s="104">
        <v>4.8</v>
      </c>
      <c r="G1200" s="110" t="s">
        <v>238</v>
      </c>
      <c r="H1200" s="112">
        <v>45847.0</v>
      </c>
      <c r="I1200" s="110" t="s">
        <v>2221</v>
      </c>
      <c r="J1200" s="104">
        <v>0.0</v>
      </c>
      <c r="K1200" s="110" t="s">
        <v>2784</v>
      </c>
      <c r="L1200" s="84"/>
    </row>
    <row r="1201">
      <c r="A1201" s="110" t="s">
        <v>2223</v>
      </c>
      <c r="B1201" s="104">
        <v>0.0</v>
      </c>
      <c r="C1201" s="110" t="s">
        <v>2785</v>
      </c>
      <c r="D1201" s="110" t="s">
        <v>217</v>
      </c>
      <c r="E1201" s="104">
        <v>0.0</v>
      </c>
      <c r="F1201" s="104">
        <v>11.25</v>
      </c>
      <c r="G1201" s="110" t="s">
        <v>2786</v>
      </c>
      <c r="H1201" s="112">
        <v>45975.0</v>
      </c>
      <c r="I1201" s="110" t="s">
        <v>2787</v>
      </c>
      <c r="J1201" s="104">
        <v>0.0</v>
      </c>
      <c r="K1201" s="110" t="s">
        <v>2788</v>
      </c>
      <c r="L1201" s="84"/>
    </row>
    <row r="1202">
      <c r="A1202" s="110" t="s">
        <v>2223</v>
      </c>
      <c r="B1202" s="104">
        <v>0.0</v>
      </c>
      <c r="C1202" s="110" t="s">
        <v>2785</v>
      </c>
      <c r="D1202" s="110" t="s">
        <v>217</v>
      </c>
      <c r="E1202" s="104">
        <v>0.0</v>
      </c>
      <c r="F1202" s="104">
        <v>10.83</v>
      </c>
      <c r="G1202" s="110" t="s">
        <v>2789</v>
      </c>
      <c r="H1202" s="112">
        <v>45975.0</v>
      </c>
      <c r="I1202" s="110" t="s">
        <v>2787</v>
      </c>
      <c r="J1202" s="104">
        <v>0.0</v>
      </c>
      <c r="K1202" s="110" t="s">
        <v>2788</v>
      </c>
      <c r="L1202" s="84"/>
    </row>
    <row r="1203">
      <c r="A1203" s="110" t="s">
        <v>2223</v>
      </c>
      <c r="B1203" s="104">
        <v>0.0</v>
      </c>
      <c r="C1203" s="110" t="s">
        <v>2785</v>
      </c>
      <c r="D1203" s="110" t="s">
        <v>217</v>
      </c>
      <c r="E1203" s="104">
        <v>0.0</v>
      </c>
      <c r="F1203" s="104">
        <v>10.3</v>
      </c>
      <c r="G1203" s="110" t="s">
        <v>2790</v>
      </c>
      <c r="H1203" s="112">
        <v>45975.0</v>
      </c>
      <c r="I1203" s="110" t="s">
        <v>2787</v>
      </c>
      <c r="J1203" s="104">
        <v>0.0</v>
      </c>
      <c r="K1203" s="110" t="s">
        <v>2788</v>
      </c>
      <c r="L1203" s="84"/>
    </row>
    <row r="1204">
      <c r="A1204" s="110" t="s">
        <v>2223</v>
      </c>
      <c r="B1204" s="104">
        <v>0.0</v>
      </c>
      <c r="C1204" s="110" t="s">
        <v>2785</v>
      </c>
      <c r="D1204" s="110" t="s">
        <v>217</v>
      </c>
      <c r="E1204" s="104">
        <v>0.0</v>
      </c>
      <c r="F1204" s="104">
        <v>9.94</v>
      </c>
      <c r="G1204" s="110" t="s">
        <v>2791</v>
      </c>
      <c r="H1204" s="112">
        <v>45975.0</v>
      </c>
      <c r="I1204" s="110" t="s">
        <v>2787</v>
      </c>
      <c r="J1204" s="104">
        <v>0.0</v>
      </c>
      <c r="K1204" s="110" t="s">
        <v>2788</v>
      </c>
      <c r="L1204" s="84"/>
    </row>
    <row r="1205">
      <c r="A1205" s="110" t="s">
        <v>2225</v>
      </c>
      <c r="B1205" s="104">
        <v>0.0</v>
      </c>
      <c r="C1205" s="110" t="s">
        <v>310</v>
      </c>
      <c r="D1205" s="110" t="s">
        <v>217</v>
      </c>
      <c r="E1205" s="104">
        <v>0.0</v>
      </c>
      <c r="F1205" s="104">
        <v>22.0</v>
      </c>
      <c r="G1205" s="104">
        <v>0.0</v>
      </c>
      <c r="H1205" s="112">
        <v>45707.0</v>
      </c>
      <c r="I1205" s="104">
        <v>0.0</v>
      </c>
      <c r="J1205" s="104">
        <v>0.0</v>
      </c>
      <c r="K1205" s="110" t="s">
        <v>2792</v>
      </c>
      <c r="L1205" s="84"/>
    </row>
    <row r="1206">
      <c r="A1206" s="110" t="s">
        <v>2229</v>
      </c>
      <c r="B1206" s="104">
        <v>0.0</v>
      </c>
      <c r="C1206" s="110" t="s">
        <v>417</v>
      </c>
      <c r="D1206" s="110" t="s">
        <v>201</v>
      </c>
      <c r="E1206" s="104">
        <v>0.0</v>
      </c>
      <c r="F1206" s="104">
        <v>4.25</v>
      </c>
      <c r="G1206" s="110" t="s">
        <v>1484</v>
      </c>
      <c r="H1206" s="112">
        <v>45897.0</v>
      </c>
      <c r="I1206" s="104">
        <v>0.0</v>
      </c>
      <c r="J1206" s="104">
        <v>0.0</v>
      </c>
      <c r="K1206" s="110" t="s">
        <v>2793</v>
      </c>
      <c r="L1206" s="84"/>
    </row>
    <row r="1207">
      <c r="A1207" s="110" t="s">
        <v>2231</v>
      </c>
      <c r="B1207" s="110" t="s">
        <v>2231</v>
      </c>
      <c r="C1207" s="110" t="s">
        <v>325</v>
      </c>
      <c r="D1207" s="110" t="s">
        <v>210</v>
      </c>
      <c r="E1207" s="104">
        <v>0.0</v>
      </c>
      <c r="F1207" s="104">
        <v>210.0</v>
      </c>
      <c r="G1207" s="110" t="s">
        <v>338</v>
      </c>
      <c r="H1207" s="112">
        <v>44887.0</v>
      </c>
      <c r="I1207" s="104">
        <v>0.0</v>
      </c>
      <c r="J1207" s="104">
        <v>0.0</v>
      </c>
      <c r="K1207" s="110" t="s">
        <v>2794</v>
      </c>
      <c r="L1207" s="84"/>
    </row>
    <row r="1208">
      <c r="A1208" s="110" t="s">
        <v>2234</v>
      </c>
      <c r="B1208" s="104">
        <v>0.0</v>
      </c>
      <c r="C1208" s="110" t="s">
        <v>993</v>
      </c>
      <c r="D1208" s="110" t="s">
        <v>217</v>
      </c>
      <c r="E1208" s="104">
        <v>0.0</v>
      </c>
      <c r="F1208" s="104">
        <v>1400.0</v>
      </c>
      <c r="G1208" s="110" t="s">
        <v>994</v>
      </c>
      <c r="H1208" s="112">
        <v>45707.0</v>
      </c>
      <c r="I1208" s="104">
        <v>0.0</v>
      </c>
      <c r="J1208" s="104">
        <v>0.0</v>
      </c>
      <c r="K1208" s="110" t="s">
        <v>2795</v>
      </c>
      <c r="L1208" s="84"/>
    </row>
    <row r="1209">
      <c r="A1209" s="110" t="s">
        <v>2236</v>
      </c>
      <c r="B1209" s="104">
        <v>0.0</v>
      </c>
      <c r="C1209" s="110" t="s">
        <v>317</v>
      </c>
      <c r="D1209" s="110" t="s">
        <v>217</v>
      </c>
      <c r="E1209" s="104">
        <v>0.0</v>
      </c>
      <c r="F1209" s="104">
        <v>1150.0</v>
      </c>
      <c r="G1209" s="104">
        <v>0.0</v>
      </c>
      <c r="H1209" s="112">
        <v>45874.0</v>
      </c>
      <c r="I1209" s="104">
        <v>0.0</v>
      </c>
      <c r="J1209" s="104">
        <v>0.0</v>
      </c>
      <c r="K1209" s="110" t="s">
        <v>2796</v>
      </c>
      <c r="L1209" s="84"/>
    </row>
    <row r="1210">
      <c r="A1210" s="110" t="s">
        <v>2238</v>
      </c>
      <c r="B1210" s="104">
        <v>0.0</v>
      </c>
      <c r="C1210" s="110" t="s">
        <v>247</v>
      </c>
      <c r="D1210" s="110" t="s">
        <v>210</v>
      </c>
      <c r="E1210" s="104">
        <v>0.0</v>
      </c>
      <c r="F1210" s="104">
        <v>0.0</v>
      </c>
      <c r="G1210" s="104">
        <v>0.0</v>
      </c>
      <c r="H1210" s="104" t="s">
        <v>232</v>
      </c>
      <c r="I1210" s="104">
        <v>0.0</v>
      </c>
      <c r="J1210" s="104">
        <v>0.0</v>
      </c>
      <c r="K1210" s="110" t="s">
        <v>2797</v>
      </c>
      <c r="L1210" s="84"/>
    </row>
    <row r="1211">
      <c r="A1211" s="110" t="s">
        <v>2240</v>
      </c>
      <c r="B1211" s="104">
        <v>0.0</v>
      </c>
      <c r="C1211" s="110" t="s">
        <v>341</v>
      </c>
      <c r="D1211" s="110" t="s">
        <v>210</v>
      </c>
      <c r="E1211" s="104">
        <v>0.0</v>
      </c>
      <c r="F1211" s="104">
        <v>12.0</v>
      </c>
      <c r="G1211" s="110" t="s">
        <v>2798</v>
      </c>
      <c r="H1211" s="112">
        <v>45817.0</v>
      </c>
      <c r="I1211" s="110" t="s">
        <v>2240</v>
      </c>
      <c r="J1211" s="104">
        <v>0.0</v>
      </c>
      <c r="K1211" s="110" t="s">
        <v>2799</v>
      </c>
      <c r="L1211" s="84"/>
    </row>
    <row r="1212">
      <c r="A1212" s="110" t="s">
        <v>2246</v>
      </c>
      <c r="B1212" s="104">
        <v>0.0</v>
      </c>
      <c r="C1212" s="110" t="s">
        <v>365</v>
      </c>
      <c r="D1212" s="110" t="s">
        <v>210</v>
      </c>
      <c r="E1212" s="104">
        <v>0.0</v>
      </c>
      <c r="F1212" s="104">
        <v>0.0</v>
      </c>
      <c r="G1212" s="104">
        <v>0.0</v>
      </c>
      <c r="H1212" s="104" t="s">
        <v>232</v>
      </c>
      <c r="I1212" s="104">
        <v>0.0</v>
      </c>
      <c r="J1212" s="104">
        <v>0.0</v>
      </c>
      <c r="K1212" s="110" t="s">
        <v>2800</v>
      </c>
      <c r="L1212" s="84"/>
    </row>
    <row r="1213">
      <c r="A1213" s="110" t="s">
        <v>2248</v>
      </c>
      <c r="B1213" s="104">
        <v>0.0</v>
      </c>
      <c r="C1213" s="110" t="s">
        <v>1395</v>
      </c>
      <c r="D1213" s="110" t="s">
        <v>1134</v>
      </c>
      <c r="E1213" s="104">
        <v>0.0</v>
      </c>
      <c r="F1213" s="104">
        <v>375.1</v>
      </c>
      <c r="G1213" s="110" t="s">
        <v>302</v>
      </c>
      <c r="H1213" s="112">
        <v>45729.0</v>
      </c>
      <c r="I1213" s="110" t="s">
        <v>2801</v>
      </c>
      <c r="J1213" s="104">
        <v>0.0</v>
      </c>
      <c r="K1213" s="110" t="s">
        <v>2802</v>
      </c>
      <c r="L1213" s="84"/>
    </row>
    <row r="1214">
      <c r="A1214" s="110" t="s">
        <v>2250</v>
      </c>
      <c r="B1214" s="104">
        <v>0.0</v>
      </c>
      <c r="C1214" s="110" t="s">
        <v>2803</v>
      </c>
      <c r="D1214" s="110" t="s">
        <v>1134</v>
      </c>
      <c r="E1214" s="104">
        <v>0.0</v>
      </c>
      <c r="F1214" s="104">
        <v>286.4</v>
      </c>
      <c r="G1214" s="110" t="s">
        <v>302</v>
      </c>
      <c r="H1214" s="112">
        <v>45915.0</v>
      </c>
      <c r="I1214" s="110" t="s">
        <v>2250</v>
      </c>
      <c r="J1214" s="104">
        <v>0.0</v>
      </c>
      <c r="K1214" s="110" t="s">
        <v>2804</v>
      </c>
      <c r="L1214" s="84"/>
    </row>
    <row r="1215">
      <c r="A1215" s="110" t="s">
        <v>2252</v>
      </c>
      <c r="B1215" s="104">
        <v>0.0</v>
      </c>
      <c r="C1215" s="110" t="s">
        <v>468</v>
      </c>
      <c r="D1215" s="110" t="s">
        <v>544</v>
      </c>
      <c r="E1215" s="104">
        <v>0.0</v>
      </c>
      <c r="F1215" s="104">
        <v>296.58</v>
      </c>
      <c r="G1215" s="110" t="s">
        <v>302</v>
      </c>
      <c r="H1215" s="112">
        <v>45930.0</v>
      </c>
      <c r="I1215" s="110" t="s">
        <v>2252</v>
      </c>
      <c r="J1215" s="104">
        <v>0.0</v>
      </c>
      <c r="K1215" s="110" t="s">
        <v>2805</v>
      </c>
      <c r="L1215" s="84"/>
    </row>
    <row r="1216">
      <c r="A1216" s="110" t="s">
        <v>2254</v>
      </c>
      <c r="B1216" s="104">
        <v>0.0</v>
      </c>
      <c r="C1216" s="110" t="s">
        <v>221</v>
      </c>
      <c r="D1216" s="104">
        <v>0.0</v>
      </c>
      <c r="E1216" s="104">
        <v>0.0</v>
      </c>
      <c r="F1216" s="110" t="s">
        <v>222</v>
      </c>
      <c r="G1216" s="110" t="s">
        <v>257</v>
      </c>
      <c r="H1216" s="112">
        <v>45807.0</v>
      </c>
      <c r="I1216" s="104">
        <v>0.0</v>
      </c>
      <c r="J1216" s="104">
        <v>0.0</v>
      </c>
      <c r="K1216" s="110" t="s">
        <v>2806</v>
      </c>
      <c r="L1216" s="84"/>
    </row>
    <row r="1217">
      <c r="A1217" s="110" t="s">
        <v>2256</v>
      </c>
      <c r="B1217" s="104">
        <v>0.0</v>
      </c>
      <c r="C1217" s="110" t="s">
        <v>221</v>
      </c>
      <c r="D1217" s="110" t="s">
        <v>612</v>
      </c>
      <c r="E1217" s="104">
        <v>0.0</v>
      </c>
      <c r="F1217" s="110" t="s">
        <v>227</v>
      </c>
      <c r="G1217" s="110" t="s">
        <v>328</v>
      </c>
      <c r="H1217" s="112">
        <v>45854.0</v>
      </c>
      <c r="I1217" s="104">
        <v>0.0</v>
      </c>
      <c r="J1217" s="104">
        <v>0.0</v>
      </c>
      <c r="K1217" s="110" t="s">
        <v>2807</v>
      </c>
      <c r="L1217" s="84"/>
    </row>
    <row r="1218">
      <c r="A1218" s="110" t="s">
        <v>2258</v>
      </c>
      <c r="B1218" s="104">
        <v>0.0</v>
      </c>
      <c r="C1218" s="110" t="s">
        <v>331</v>
      </c>
      <c r="D1218" s="110" t="s">
        <v>210</v>
      </c>
      <c r="E1218" s="104">
        <v>0.0</v>
      </c>
      <c r="F1218" s="104">
        <v>17.0</v>
      </c>
      <c r="G1218" s="110" t="s">
        <v>218</v>
      </c>
      <c r="H1218" s="112">
        <v>45979.0</v>
      </c>
      <c r="I1218" s="110" t="s">
        <v>2258</v>
      </c>
      <c r="J1218" s="104">
        <v>0.0</v>
      </c>
      <c r="K1218" s="110" t="s">
        <v>2808</v>
      </c>
      <c r="L1218" s="84"/>
    </row>
    <row r="1219">
      <c r="A1219" s="110" t="s">
        <v>2261</v>
      </c>
      <c r="B1219" s="104">
        <v>0.0</v>
      </c>
      <c r="C1219" s="110" t="s">
        <v>209</v>
      </c>
      <c r="D1219" s="110" t="s">
        <v>612</v>
      </c>
      <c r="E1219" s="104">
        <v>12.0</v>
      </c>
      <c r="F1219" s="104">
        <v>12.0</v>
      </c>
      <c r="G1219" s="110" t="s">
        <v>1484</v>
      </c>
      <c r="H1219" s="112">
        <v>45987.0</v>
      </c>
      <c r="I1219" s="110" t="s">
        <v>2261</v>
      </c>
      <c r="J1219" s="104">
        <v>0.0</v>
      </c>
      <c r="K1219" s="110" t="s">
        <v>2809</v>
      </c>
      <c r="L1219" s="84"/>
    </row>
    <row r="1220">
      <c r="A1220" s="110" t="s">
        <v>2263</v>
      </c>
      <c r="B1220" s="110" t="s">
        <v>2810</v>
      </c>
      <c r="C1220" s="110" t="s">
        <v>2811</v>
      </c>
      <c r="D1220" s="110" t="s">
        <v>226</v>
      </c>
      <c r="E1220" s="104">
        <v>0.0</v>
      </c>
      <c r="F1220" s="104">
        <v>184.13</v>
      </c>
      <c r="G1220" s="110" t="s">
        <v>211</v>
      </c>
      <c r="H1220" s="112">
        <v>45966.0</v>
      </c>
      <c r="I1220" s="110" t="s">
        <v>2812</v>
      </c>
      <c r="J1220" s="104">
        <v>0.0</v>
      </c>
      <c r="K1220" s="110" t="s">
        <v>2813</v>
      </c>
      <c r="L1220" s="84"/>
    </row>
    <row r="1221">
      <c r="A1221" s="110" t="s">
        <v>2265</v>
      </c>
      <c r="B1221" s="104">
        <v>0.0</v>
      </c>
      <c r="C1221" s="110" t="s">
        <v>2373</v>
      </c>
      <c r="D1221" s="110" t="s">
        <v>226</v>
      </c>
      <c r="E1221" s="104">
        <v>0.0</v>
      </c>
      <c r="F1221" s="104">
        <v>51.0</v>
      </c>
      <c r="G1221" s="110" t="s">
        <v>218</v>
      </c>
      <c r="H1221" s="112">
        <v>45992.0</v>
      </c>
      <c r="I1221" s="110" t="s">
        <v>2265</v>
      </c>
      <c r="J1221" s="104">
        <v>0.0</v>
      </c>
      <c r="K1221" s="110" t="s">
        <v>2814</v>
      </c>
      <c r="L1221" s="84"/>
    </row>
    <row r="1222">
      <c r="A1222" s="110" t="s">
        <v>2267</v>
      </c>
      <c r="B1222" s="104">
        <v>0.0</v>
      </c>
      <c r="C1222" s="110" t="s">
        <v>331</v>
      </c>
      <c r="D1222" s="110" t="s">
        <v>226</v>
      </c>
      <c r="E1222" s="104">
        <v>0.0</v>
      </c>
      <c r="F1222" s="104">
        <v>53.0</v>
      </c>
      <c r="G1222" s="110" t="s">
        <v>540</v>
      </c>
      <c r="H1222" s="112">
        <v>45987.0</v>
      </c>
      <c r="I1222" s="110" t="s">
        <v>2815</v>
      </c>
      <c r="J1222" s="104">
        <v>0.0</v>
      </c>
      <c r="K1222" s="110" t="s">
        <v>2816</v>
      </c>
      <c r="L1222" s="84"/>
    </row>
    <row r="1223">
      <c r="A1223" s="110" t="s">
        <v>2269</v>
      </c>
      <c r="B1223" s="104">
        <v>0.0</v>
      </c>
      <c r="C1223" s="110" t="s">
        <v>1399</v>
      </c>
      <c r="D1223" s="110" t="s">
        <v>226</v>
      </c>
      <c r="E1223" s="104">
        <v>0.0</v>
      </c>
      <c r="F1223" s="104">
        <v>75.0</v>
      </c>
      <c r="G1223" s="104">
        <v>0.0</v>
      </c>
      <c r="H1223" s="104" t="s">
        <v>232</v>
      </c>
      <c r="I1223" s="104">
        <v>0.0</v>
      </c>
      <c r="J1223" s="104">
        <v>0.0</v>
      </c>
      <c r="K1223" s="110" t="s">
        <v>2817</v>
      </c>
      <c r="L1223" s="84"/>
    </row>
    <row r="1224">
      <c r="A1224" s="110" t="s">
        <v>2271</v>
      </c>
      <c r="B1224" s="104">
        <v>0.0</v>
      </c>
      <c r="C1224" s="110" t="s">
        <v>209</v>
      </c>
      <c r="D1224" s="110" t="s">
        <v>217</v>
      </c>
      <c r="E1224" s="104">
        <v>0.0</v>
      </c>
      <c r="F1224" s="104">
        <v>0.0</v>
      </c>
      <c r="G1224" s="104">
        <v>0.0</v>
      </c>
      <c r="H1224" s="104" t="s">
        <v>232</v>
      </c>
      <c r="I1224" s="104">
        <v>0.0</v>
      </c>
      <c r="J1224" s="104">
        <v>0.0</v>
      </c>
      <c r="K1224" s="110" t="s">
        <v>2818</v>
      </c>
      <c r="L1224" s="84"/>
    </row>
    <row r="1225">
      <c r="A1225" s="110" t="s">
        <v>2274</v>
      </c>
      <c r="B1225" s="104">
        <v>0.0</v>
      </c>
      <c r="C1225" s="110" t="s">
        <v>293</v>
      </c>
      <c r="D1225" s="110" t="s">
        <v>226</v>
      </c>
      <c r="E1225" s="104">
        <v>0.0</v>
      </c>
      <c r="F1225" s="104">
        <v>0.0</v>
      </c>
      <c r="G1225" s="104">
        <v>0.0</v>
      </c>
      <c r="H1225" s="104" t="s">
        <v>232</v>
      </c>
      <c r="I1225" s="104">
        <v>0.0</v>
      </c>
      <c r="J1225" s="104">
        <v>0.0</v>
      </c>
      <c r="K1225" s="110" t="s">
        <v>2819</v>
      </c>
      <c r="L1225" s="84"/>
    </row>
    <row r="1226">
      <c r="A1226" s="110" t="s">
        <v>2275</v>
      </c>
      <c r="B1226" s="110" t="s">
        <v>2820</v>
      </c>
      <c r="C1226" s="110" t="s">
        <v>2373</v>
      </c>
      <c r="D1226" s="110" t="s">
        <v>226</v>
      </c>
      <c r="E1226" s="104">
        <v>0.0</v>
      </c>
      <c r="F1226" s="104">
        <v>80.0</v>
      </c>
      <c r="G1226" s="110" t="s">
        <v>218</v>
      </c>
      <c r="H1226" s="112">
        <v>45954.0</v>
      </c>
      <c r="I1226" s="110" t="s">
        <v>2275</v>
      </c>
      <c r="J1226" s="104">
        <v>0.0</v>
      </c>
      <c r="K1226" s="110" t="s">
        <v>2821</v>
      </c>
      <c r="L1226" s="84"/>
    </row>
    <row r="1227">
      <c r="A1227" s="110" t="s">
        <v>2278</v>
      </c>
      <c r="B1227" s="104">
        <v>0.0</v>
      </c>
      <c r="C1227" s="110" t="s">
        <v>2373</v>
      </c>
      <c r="D1227" s="110" t="s">
        <v>226</v>
      </c>
      <c r="E1227" s="104">
        <v>0.0</v>
      </c>
      <c r="F1227" s="104">
        <v>140.0</v>
      </c>
      <c r="G1227" s="110" t="s">
        <v>218</v>
      </c>
      <c r="H1227" s="112">
        <v>45916.0</v>
      </c>
      <c r="I1227" s="110" t="s">
        <v>2278</v>
      </c>
      <c r="J1227" s="104">
        <v>0.0</v>
      </c>
      <c r="K1227" s="110" t="s">
        <v>2822</v>
      </c>
      <c r="L1227" s="84"/>
    </row>
    <row r="1228">
      <c r="A1228" s="110" t="s">
        <v>2278</v>
      </c>
      <c r="B1228" s="104">
        <v>0.0</v>
      </c>
      <c r="C1228" s="110" t="s">
        <v>2373</v>
      </c>
      <c r="D1228" s="110" t="s">
        <v>226</v>
      </c>
      <c r="E1228" s="104">
        <v>0.0</v>
      </c>
      <c r="F1228" s="104">
        <v>135.0</v>
      </c>
      <c r="G1228" s="110" t="s">
        <v>334</v>
      </c>
      <c r="H1228" s="112">
        <v>45916.0</v>
      </c>
      <c r="I1228" s="110" t="s">
        <v>2278</v>
      </c>
      <c r="J1228" s="104">
        <v>0.0</v>
      </c>
      <c r="K1228" s="110" t="s">
        <v>2822</v>
      </c>
      <c r="L1228" s="84"/>
    </row>
    <row r="1229">
      <c r="A1229" s="110" t="s">
        <v>2280</v>
      </c>
      <c r="B1229" s="104">
        <v>0.0</v>
      </c>
      <c r="C1229" s="110" t="s">
        <v>551</v>
      </c>
      <c r="D1229" s="110" t="s">
        <v>544</v>
      </c>
      <c r="E1229" s="104">
        <v>0.0</v>
      </c>
      <c r="F1229" s="104">
        <v>67.9</v>
      </c>
      <c r="G1229" s="110" t="s">
        <v>206</v>
      </c>
      <c r="H1229" s="112">
        <v>45898.0</v>
      </c>
      <c r="I1229" s="110" t="s">
        <v>2280</v>
      </c>
      <c r="J1229" s="104">
        <v>0.0</v>
      </c>
      <c r="K1229" s="110" t="s">
        <v>2823</v>
      </c>
      <c r="L1229" s="84"/>
    </row>
    <row r="1230">
      <c r="A1230" s="110" t="s">
        <v>2282</v>
      </c>
      <c r="B1230" s="104">
        <v>0.0</v>
      </c>
      <c r="C1230" s="110" t="s">
        <v>247</v>
      </c>
      <c r="D1230" s="110" t="s">
        <v>210</v>
      </c>
      <c r="E1230" s="104">
        <v>0.0</v>
      </c>
      <c r="F1230" s="104">
        <v>0.0</v>
      </c>
      <c r="G1230" s="104">
        <v>0.0</v>
      </c>
      <c r="H1230" s="104" t="s">
        <v>232</v>
      </c>
      <c r="I1230" s="104">
        <v>0.0</v>
      </c>
      <c r="J1230" s="104">
        <v>0.0</v>
      </c>
      <c r="K1230" s="110" t="s">
        <v>2824</v>
      </c>
      <c r="L1230" s="84"/>
    </row>
    <row r="1231">
      <c r="A1231" s="110" t="s">
        <v>2284</v>
      </c>
      <c r="B1231" s="104">
        <v>0.0</v>
      </c>
      <c r="C1231" s="110" t="s">
        <v>266</v>
      </c>
      <c r="D1231" s="110" t="s">
        <v>226</v>
      </c>
      <c r="E1231" s="104">
        <v>0.0</v>
      </c>
      <c r="F1231" s="104">
        <v>22.0</v>
      </c>
      <c r="G1231" s="110" t="s">
        <v>268</v>
      </c>
      <c r="H1231" s="112">
        <v>45930.0</v>
      </c>
      <c r="I1231" s="104">
        <v>0.0</v>
      </c>
      <c r="J1231" s="104">
        <v>0.0</v>
      </c>
      <c r="K1231" s="110" t="s">
        <v>2825</v>
      </c>
      <c r="L1231" s="84"/>
    </row>
    <row r="1232">
      <c r="A1232" s="110" t="s">
        <v>2284</v>
      </c>
      <c r="B1232" s="104">
        <v>0.0</v>
      </c>
      <c r="C1232" s="110" t="s">
        <v>365</v>
      </c>
      <c r="D1232" s="110" t="s">
        <v>226</v>
      </c>
      <c r="E1232" s="104">
        <v>0.0</v>
      </c>
      <c r="F1232" s="104">
        <v>0.0</v>
      </c>
      <c r="G1232" s="104">
        <v>0.0</v>
      </c>
      <c r="H1232" s="104" t="s">
        <v>232</v>
      </c>
      <c r="I1232" s="104">
        <v>0.0</v>
      </c>
      <c r="J1232" s="104">
        <v>0.0</v>
      </c>
      <c r="K1232" s="110" t="s">
        <v>2826</v>
      </c>
      <c r="L1232" s="84"/>
    </row>
    <row r="1233">
      <c r="A1233" s="110" t="s">
        <v>2284</v>
      </c>
      <c r="B1233" s="104">
        <v>0.0</v>
      </c>
      <c r="C1233" s="110" t="s">
        <v>386</v>
      </c>
      <c r="D1233" s="110" t="s">
        <v>226</v>
      </c>
      <c r="E1233" s="104">
        <v>0.0</v>
      </c>
      <c r="F1233" s="104">
        <v>25.0</v>
      </c>
      <c r="G1233" s="110" t="s">
        <v>338</v>
      </c>
      <c r="H1233" s="112">
        <v>45884.0</v>
      </c>
      <c r="I1233" s="110" t="s">
        <v>2284</v>
      </c>
      <c r="J1233" s="104">
        <v>0.0</v>
      </c>
      <c r="K1233" s="110" t="s">
        <v>2827</v>
      </c>
      <c r="L1233" s="84"/>
    </row>
    <row r="1234">
      <c r="A1234" s="110" t="s">
        <v>2284</v>
      </c>
      <c r="B1234" s="104">
        <v>0.0</v>
      </c>
      <c r="C1234" s="110" t="s">
        <v>209</v>
      </c>
      <c r="D1234" s="110" t="s">
        <v>217</v>
      </c>
      <c r="E1234" s="104">
        <v>0.0</v>
      </c>
      <c r="F1234" s="104">
        <v>0.0</v>
      </c>
      <c r="G1234" s="104">
        <v>0.0</v>
      </c>
      <c r="H1234" s="104" t="s">
        <v>232</v>
      </c>
      <c r="I1234" s="104">
        <v>0.0</v>
      </c>
      <c r="J1234" s="104">
        <v>0.0</v>
      </c>
      <c r="K1234" s="110" t="s">
        <v>2828</v>
      </c>
      <c r="L1234" s="84"/>
    </row>
    <row r="1235">
      <c r="A1235" s="110" t="s">
        <v>2286</v>
      </c>
      <c r="B1235" s="104">
        <v>0.0</v>
      </c>
      <c r="C1235" s="110" t="s">
        <v>221</v>
      </c>
      <c r="D1235" s="104">
        <v>0.0</v>
      </c>
      <c r="E1235" s="104">
        <v>0.0</v>
      </c>
      <c r="F1235" s="104">
        <v>2.16</v>
      </c>
      <c r="G1235" s="110" t="s">
        <v>257</v>
      </c>
      <c r="H1235" s="112">
        <v>45807.0</v>
      </c>
      <c r="I1235" s="104">
        <v>0.0</v>
      </c>
      <c r="J1235" s="104">
        <v>0.0</v>
      </c>
      <c r="K1235" s="110" t="s">
        <v>2829</v>
      </c>
      <c r="L1235" s="84"/>
    </row>
    <row r="1236">
      <c r="A1236" s="110" t="s">
        <v>2288</v>
      </c>
      <c r="B1236" s="104">
        <v>0.0</v>
      </c>
      <c r="C1236" s="110" t="s">
        <v>221</v>
      </c>
      <c r="D1236" s="110" t="s">
        <v>226</v>
      </c>
      <c r="E1236" s="104">
        <v>0.0</v>
      </c>
      <c r="F1236" s="104">
        <v>2.16</v>
      </c>
      <c r="G1236" s="110" t="s">
        <v>328</v>
      </c>
      <c r="H1236" s="112">
        <v>45854.0</v>
      </c>
      <c r="I1236" s="104">
        <v>0.0</v>
      </c>
      <c r="J1236" s="104">
        <v>0.0</v>
      </c>
      <c r="K1236" s="110" t="s">
        <v>2830</v>
      </c>
      <c r="L1236" s="84"/>
    </row>
    <row r="1237">
      <c r="A1237" s="110" t="s">
        <v>2290</v>
      </c>
      <c r="B1237" s="110" t="s">
        <v>2831</v>
      </c>
      <c r="C1237" s="110" t="s">
        <v>845</v>
      </c>
      <c r="D1237" s="110" t="s">
        <v>205</v>
      </c>
      <c r="E1237" s="104">
        <v>0.0</v>
      </c>
      <c r="F1237" s="104">
        <v>8.0</v>
      </c>
      <c r="G1237" s="110" t="s">
        <v>2832</v>
      </c>
      <c r="H1237" s="112">
        <v>45707.0</v>
      </c>
      <c r="I1237" s="104">
        <v>0.0</v>
      </c>
      <c r="J1237" s="104">
        <v>0.0</v>
      </c>
      <c r="K1237" s="110" t="s">
        <v>2833</v>
      </c>
      <c r="L1237" s="84"/>
    </row>
    <row r="1238">
      <c r="A1238" s="110" t="s">
        <v>2293</v>
      </c>
      <c r="B1238" s="104">
        <v>0.0</v>
      </c>
      <c r="C1238" s="110" t="s">
        <v>884</v>
      </c>
      <c r="D1238" s="104">
        <v>0.0</v>
      </c>
      <c r="E1238" s="104">
        <v>0.0</v>
      </c>
      <c r="F1238" s="104">
        <v>4.64</v>
      </c>
      <c r="G1238" s="104">
        <v>0.0</v>
      </c>
      <c r="H1238" s="112">
        <v>45714.0</v>
      </c>
      <c r="I1238" s="104">
        <v>0.0</v>
      </c>
      <c r="J1238" s="104">
        <v>0.0</v>
      </c>
      <c r="K1238" s="110" t="s">
        <v>2834</v>
      </c>
      <c r="L1238" s="84"/>
    </row>
    <row r="1239">
      <c r="A1239" s="110" t="s">
        <v>2295</v>
      </c>
      <c r="B1239" s="110" t="s">
        <v>2835</v>
      </c>
      <c r="C1239" s="110" t="s">
        <v>2300</v>
      </c>
      <c r="D1239" s="110" t="s">
        <v>205</v>
      </c>
      <c r="E1239" s="104">
        <v>0.0</v>
      </c>
      <c r="F1239" s="104">
        <v>5.54</v>
      </c>
      <c r="G1239" s="110" t="s">
        <v>238</v>
      </c>
      <c r="H1239" s="112">
        <v>45719.0</v>
      </c>
      <c r="I1239" s="104">
        <v>0.0</v>
      </c>
      <c r="J1239" s="104">
        <v>0.0</v>
      </c>
      <c r="K1239" s="110" t="s">
        <v>2836</v>
      </c>
      <c r="L1239" s="84"/>
    </row>
    <row r="1240">
      <c r="A1240" s="110" t="s">
        <v>2297</v>
      </c>
      <c r="B1240" s="104">
        <v>0.0</v>
      </c>
      <c r="C1240" s="110" t="s">
        <v>884</v>
      </c>
      <c r="D1240" s="104">
        <v>0.0</v>
      </c>
      <c r="E1240" s="104">
        <v>0.0</v>
      </c>
      <c r="F1240" s="104">
        <v>11.25</v>
      </c>
      <c r="G1240" s="104">
        <v>0.0</v>
      </c>
      <c r="H1240" s="112">
        <v>45714.0</v>
      </c>
      <c r="I1240" s="104">
        <v>0.0</v>
      </c>
      <c r="J1240" s="104">
        <v>0.0</v>
      </c>
      <c r="K1240" s="110" t="s">
        <v>2837</v>
      </c>
      <c r="L1240" s="84"/>
    </row>
    <row r="1241">
      <c r="A1241" s="110" t="s">
        <v>2299</v>
      </c>
      <c r="B1241" s="110" t="s">
        <v>2835</v>
      </c>
      <c r="C1241" s="110" t="s">
        <v>2300</v>
      </c>
      <c r="D1241" s="110" t="s">
        <v>205</v>
      </c>
      <c r="E1241" s="104">
        <v>0.0</v>
      </c>
      <c r="F1241" s="104">
        <v>12.44</v>
      </c>
      <c r="G1241" s="110" t="s">
        <v>268</v>
      </c>
      <c r="H1241" s="112">
        <v>45719.0</v>
      </c>
      <c r="I1241" s="104">
        <v>0.0</v>
      </c>
      <c r="J1241" s="104">
        <v>0.0</v>
      </c>
      <c r="K1241" s="110" t="s">
        <v>2838</v>
      </c>
      <c r="L1241" s="84"/>
    </row>
    <row r="1242">
      <c r="A1242" s="110" t="s">
        <v>2302</v>
      </c>
      <c r="B1242" s="104">
        <v>0.0</v>
      </c>
      <c r="C1242" s="110" t="s">
        <v>417</v>
      </c>
      <c r="D1242" s="110" t="s">
        <v>201</v>
      </c>
      <c r="E1242" s="104">
        <v>0.0</v>
      </c>
      <c r="F1242" s="104">
        <v>15.0</v>
      </c>
      <c r="G1242" s="110" t="s">
        <v>1484</v>
      </c>
      <c r="H1242" s="112">
        <v>45897.0</v>
      </c>
      <c r="I1242" s="104">
        <v>0.0</v>
      </c>
      <c r="J1242" s="104">
        <v>0.0</v>
      </c>
      <c r="K1242" s="110" t="s">
        <v>2839</v>
      </c>
      <c r="L1242" s="84"/>
    </row>
    <row r="1243">
      <c r="A1243" s="110" t="s">
        <v>2304</v>
      </c>
      <c r="B1243" s="104">
        <v>0.0</v>
      </c>
      <c r="C1243" s="110" t="s">
        <v>2840</v>
      </c>
      <c r="D1243" s="110" t="s">
        <v>205</v>
      </c>
      <c r="E1243" s="104">
        <v>0.0</v>
      </c>
      <c r="F1243" s="104">
        <v>269.0</v>
      </c>
      <c r="G1243" s="110" t="s">
        <v>302</v>
      </c>
      <c r="H1243" s="112">
        <v>45966.0</v>
      </c>
      <c r="I1243" s="110" t="s">
        <v>2304</v>
      </c>
      <c r="J1243" s="104">
        <v>0.0</v>
      </c>
      <c r="K1243" s="110" t="s">
        <v>2841</v>
      </c>
      <c r="L1243" s="84"/>
    </row>
    <row r="1244">
      <c r="A1244" s="110" t="s">
        <v>2307</v>
      </c>
      <c r="B1244" s="104">
        <v>0.0</v>
      </c>
      <c r="C1244" s="110" t="s">
        <v>2842</v>
      </c>
      <c r="D1244" s="110" t="s">
        <v>217</v>
      </c>
      <c r="E1244" s="104">
        <v>0.0</v>
      </c>
      <c r="F1244" s="104">
        <v>410.0</v>
      </c>
      <c r="G1244" s="110" t="s">
        <v>2843</v>
      </c>
      <c r="H1244" s="112">
        <v>45874.0</v>
      </c>
      <c r="I1244" s="110" t="s">
        <v>2844</v>
      </c>
      <c r="J1244" s="104">
        <v>0.0</v>
      </c>
      <c r="K1244" s="110" t="s">
        <v>2845</v>
      </c>
      <c r="L1244" s="84"/>
    </row>
    <row r="1245">
      <c r="A1245" s="110" t="s">
        <v>2310</v>
      </c>
      <c r="B1245" s="104">
        <v>0.0</v>
      </c>
      <c r="C1245" s="110" t="s">
        <v>209</v>
      </c>
      <c r="D1245" s="110" t="s">
        <v>217</v>
      </c>
      <c r="E1245" s="104">
        <v>0.0</v>
      </c>
      <c r="F1245" s="104">
        <v>0.0</v>
      </c>
      <c r="G1245" s="104">
        <v>0.0</v>
      </c>
      <c r="H1245" s="104" t="s">
        <v>232</v>
      </c>
      <c r="I1245" s="104">
        <v>0.0</v>
      </c>
      <c r="J1245" s="104">
        <v>0.0</v>
      </c>
      <c r="K1245" s="110" t="s">
        <v>2846</v>
      </c>
      <c r="L1245" s="84"/>
    </row>
    <row r="1246">
      <c r="A1246" s="110" t="s">
        <v>2312</v>
      </c>
      <c r="B1246" s="104">
        <v>0.0</v>
      </c>
      <c r="C1246" s="110" t="s">
        <v>1395</v>
      </c>
      <c r="D1246" s="110" t="s">
        <v>217</v>
      </c>
      <c r="E1246" s="104">
        <v>0.0</v>
      </c>
      <c r="F1246" s="104">
        <v>241.5</v>
      </c>
      <c r="G1246" s="104">
        <v>0.0</v>
      </c>
      <c r="H1246" s="112">
        <v>45929.0</v>
      </c>
      <c r="I1246" s="110" t="s">
        <v>2312</v>
      </c>
      <c r="J1246" s="104">
        <v>0.0</v>
      </c>
      <c r="K1246" s="110" t="s">
        <v>2847</v>
      </c>
      <c r="L1246" s="84"/>
    </row>
    <row r="1247">
      <c r="A1247" s="110" t="s">
        <v>2314</v>
      </c>
      <c r="B1247" s="104">
        <v>0.0</v>
      </c>
      <c r="C1247" s="110" t="s">
        <v>247</v>
      </c>
      <c r="D1247" s="110" t="s">
        <v>210</v>
      </c>
      <c r="E1247" s="104">
        <v>0.0</v>
      </c>
      <c r="F1247" s="104">
        <v>12.55</v>
      </c>
      <c r="G1247" s="110" t="s">
        <v>2848</v>
      </c>
      <c r="H1247" s="112">
        <v>45812.0</v>
      </c>
      <c r="I1247" s="110" t="s">
        <v>2849</v>
      </c>
      <c r="J1247" s="104">
        <v>0.0</v>
      </c>
      <c r="K1247" s="110" t="s">
        <v>2850</v>
      </c>
      <c r="L1247" s="84"/>
    </row>
    <row r="1248">
      <c r="A1248" s="110" t="s">
        <v>2314</v>
      </c>
      <c r="B1248" s="104">
        <v>0.0</v>
      </c>
      <c r="C1248" s="110" t="s">
        <v>247</v>
      </c>
      <c r="D1248" s="110" t="s">
        <v>210</v>
      </c>
      <c r="E1248" s="104">
        <v>0.0</v>
      </c>
      <c r="F1248" s="104">
        <v>11.95</v>
      </c>
      <c r="G1248" s="110" t="s">
        <v>473</v>
      </c>
      <c r="H1248" s="112">
        <v>45812.0</v>
      </c>
      <c r="I1248" s="110" t="s">
        <v>2849</v>
      </c>
      <c r="J1248" s="104">
        <v>0.0</v>
      </c>
      <c r="K1248" s="110" t="s">
        <v>2850</v>
      </c>
      <c r="L1248" s="84"/>
    </row>
    <row r="1249">
      <c r="A1249" s="110" t="s">
        <v>2314</v>
      </c>
      <c r="B1249" s="104">
        <v>0.0</v>
      </c>
      <c r="C1249" s="110" t="s">
        <v>247</v>
      </c>
      <c r="D1249" s="110" t="s">
        <v>210</v>
      </c>
      <c r="E1249" s="104">
        <v>0.0</v>
      </c>
      <c r="F1249" s="104">
        <v>11.35</v>
      </c>
      <c r="G1249" s="110" t="s">
        <v>475</v>
      </c>
      <c r="H1249" s="112">
        <v>45812.0</v>
      </c>
      <c r="I1249" s="110" t="s">
        <v>2849</v>
      </c>
      <c r="J1249" s="104">
        <v>0.0</v>
      </c>
      <c r="K1249" s="110" t="s">
        <v>2850</v>
      </c>
      <c r="L1249" s="84"/>
    </row>
    <row r="1250">
      <c r="A1250" s="110" t="s">
        <v>2314</v>
      </c>
      <c r="B1250" s="104">
        <v>0.0</v>
      </c>
      <c r="C1250" s="110" t="s">
        <v>247</v>
      </c>
      <c r="D1250" s="110" t="s">
        <v>210</v>
      </c>
      <c r="E1250" s="104">
        <v>0.0</v>
      </c>
      <c r="F1250" s="104">
        <v>11.05</v>
      </c>
      <c r="G1250" s="110" t="s">
        <v>1295</v>
      </c>
      <c r="H1250" s="112">
        <v>45812.0</v>
      </c>
      <c r="I1250" s="110" t="s">
        <v>2849</v>
      </c>
      <c r="J1250" s="104">
        <v>0.0</v>
      </c>
      <c r="K1250" s="110" t="s">
        <v>2850</v>
      </c>
      <c r="L1250" s="84"/>
    </row>
    <row r="1251">
      <c r="A1251" s="110" t="s">
        <v>2316</v>
      </c>
      <c r="B1251" s="104">
        <v>0.0</v>
      </c>
      <c r="C1251" s="110" t="s">
        <v>1255</v>
      </c>
      <c r="D1251" s="110" t="s">
        <v>226</v>
      </c>
      <c r="E1251" s="104">
        <v>0.0</v>
      </c>
      <c r="F1251" s="104">
        <v>201.6</v>
      </c>
      <c r="G1251" s="110" t="s">
        <v>1256</v>
      </c>
      <c r="H1251" s="112">
        <v>45910.0</v>
      </c>
      <c r="I1251" s="110" t="s">
        <v>2851</v>
      </c>
      <c r="J1251" s="104">
        <v>0.0</v>
      </c>
      <c r="K1251" s="110" t="s">
        <v>2852</v>
      </c>
      <c r="L1251" s="84"/>
    </row>
    <row r="1252">
      <c r="A1252" s="110" t="s">
        <v>2316</v>
      </c>
      <c r="B1252" s="104">
        <v>0.0</v>
      </c>
      <c r="C1252" s="110" t="s">
        <v>1255</v>
      </c>
      <c r="D1252" s="110" t="s">
        <v>226</v>
      </c>
      <c r="E1252" s="104">
        <v>0.0</v>
      </c>
      <c r="F1252" s="104">
        <v>191.4</v>
      </c>
      <c r="G1252" s="110" t="s">
        <v>1260</v>
      </c>
      <c r="H1252" s="112">
        <v>45910.0</v>
      </c>
      <c r="I1252" s="110" t="s">
        <v>2851</v>
      </c>
      <c r="J1252" s="104">
        <v>0.0</v>
      </c>
      <c r="K1252" s="110" t="s">
        <v>2852</v>
      </c>
      <c r="L1252" s="84"/>
    </row>
    <row r="1253">
      <c r="A1253" s="110" t="s">
        <v>2316</v>
      </c>
      <c r="B1253" s="104">
        <v>0.0</v>
      </c>
      <c r="C1253" s="110" t="s">
        <v>1255</v>
      </c>
      <c r="D1253" s="110" t="s">
        <v>226</v>
      </c>
      <c r="E1253" s="104">
        <v>0.0</v>
      </c>
      <c r="F1253" s="104">
        <v>181.8</v>
      </c>
      <c r="G1253" s="110" t="s">
        <v>1262</v>
      </c>
      <c r="H1253" s="112">
        <v>45910.0</v>
      </c>
      <c r="I1253" s="110" t="s">
        <v>2851</v>
      </c>
      <c r="J1253" s="104">
        <v>0.0</v>
      </c>
      <c r="K1253" s="110" t="s">
        <v>2852</v>
      </c>
      <c r="L1253" s="84"/>
    </row>
    <row r="1254">
      <c r="A1254" s="110" t="s">
        <v>2320</v>
      </c>
      <c r="B1254" s="104">
        <v>0.0</v>
      </c>
      <c r="C1254" s="110" t="s">
        <v>209</v>
      </c>
      <c r="D1254" s="110" t="s">
        <v>217</v>
      </c>
      <c r="E1254" s="104">
        <v>0.0</v>
      </c>
      <c r="F1254" s="104">
        <v>0.0</v>
      </c>
      <c r="G1254" s="104">
        <v>0.0</v>
      </c>
      <c r="H1254" s="104" t="s">
        <v>232</v>
      </c>
      <c r="I1254" s="104">
        <v>0.0</v>
      </c>
      <c r="J1254" s="104">
        <v>0.0</v>
      </c>
      <c r="K1254" s="110" t="s">
        <v>2853</v>
      </c>
      <c r="L1254" s="84"/>
    </row>
    <row r="1255">
      <c r="A1255" s="110" t="s">
        <v>2322</v>
      </c>
      <c r="B1255" s="104">
        <v>0.0</v>
      </c>
      <c r="C1255" s="110" t="s">
        <v>551</v>
      </c>
      <c r="D1255" s="110" t="s">
        <v>552</v>
      </c>
      <c r="E1255" s="104">
        <v>0.0</v>
      </c>
      <c r="F1255" s="104">
        <v>43.22</v>
      </c>
      <c r="G1255" s="110" t="s">
        <v>238</v>
      </c>
      <c r="H1255" s="112">
        <v>45681.0</v>
      </c>
      <c r="I1255" s="104">
        <v>0.0</v>
      </c>
      <c r="J1255" s="104">
        <v>0.0</v>
      </c>
      <c r="K1255" s="110" t="s">
        <v>2854</v>
      </c>
      <c r="L1255" s="84"/>
    </row>
    <row r="1256">
      <c r="A1256" s="110" t="s">
        <v>2323</v>
      </c>
      <c r="B1256" s="104">
        <v>0.0</v>
      </c>
      <c r="C1256" s="110" t="s">
        <v>221</v>
      </c>
      <c r="D1256" s="104">
        <v>0.0</v>
      </c>
      <c r="E1256" s="104">
        <v>0.0</v>
      </c>
      <c r="F1256" s="104">
        <v>4.17</v>
      </c>
      <c r="G1256" s="110" t="s">
        <v>257</v>
      </c>
      <c r="H1256" s="112">
        <v>45807.0</v>
      </c>
      <c r="I1256" s="104">
        <v>0.0</v>
      </c>
      <c r="J1256" s="104">
        <v>0.0</v>
      </c>
      <c r="K1256" s="110" t="s">
        <v>2855</v>
      </c>
      <c r="L1256" s="84"/>
    </row>
    <row r="1257">
      <c r="A1257" s="110" t="s">
        <v>2326</v>
      </c>
      <c r="B1257" s="104">
        <v>0.0</v>
      </c>
      <c r="C1257" s="110" t="s">
        <v>221</v>
      </c>
      <c r="D1257" s="110" t="s">
        <v>612</v>
      </c>
      <c r="E1257" s="104">
        <v>0.0</v>
      </c>
      <c r="F1257" s="104">
        <v>4.17</v>
      </c>
      <c r="G1257" s="110" t="s">
        <v>328</v>
      </c>
      <c r="H1257" s="112">
        <v>45854.0</v>
      </c>
      <c r="I1257" s="104">
        <v>0.0</v>
      </c>
      <c r="J1257" s="104">
        <v>0.0</v>
      </c>
      <c r="K1257" s="110" t="s">
        <v>2856</v>
      </c>
      <c r="L1257" s="84"/>
    </row>
    <row r="1258">
      <c r="A1258" s="110" t="s">
        <v>2327</v>
      </c>
      <c r="B1258" s="104">
        <v>0.0</v>
      </c>
      <c r="C1258" s="110" t="s">
        <v>221</v>
      </c>
      <c r="D1258" s="110" t="s">
        <v>612</v>
      </c>
      <c r="E1258" s="104">
        <v>0.0</v>
      </c>
      <c r="F1258" s="104">
        <v>4.76</v>
      </c>
      <c r="G1258" s="110" t="s">
        <v>2857</v>
      </c>
      <c r="H1258" s="112">
        <v>45978.0</v>
      </c>
      <c r="I1258" s="110" t="s">
        <v>2858</v>
      </c>
      <c r="J1258" s="104">
        <v>0.0</v>
      </c>
      <c r="K1258" s="110" t="s">
        <v>2859</v>
      </c>
      <c r="L1258" s="84"/>
    </row>
    <row r="1259">
      <c r="A1259" s="110" t="s">
        <v>2330</v>
      </c>
      <c r="B1259" s="104">
        <v>0.0</v>
      </c>
      <c r="C1259" s="110" t="s">
        <v>221</v>
      </c>
      <c r="D1259" s="110" t="s">
        <v>612</v>
      </c>
      <c r="E1259" s="104">
        <v>0.0</v>
      </c>
      <c r="F1259" s="104">
        <v>4.17</v>
      </c>
      <c r="G1259" s="110" t="s">
        <v>2860</v>
      </c>
      <c r="H1259" s="112">
        <v>45933.0</v>
      </c>
      <c r="I1259" s="110" t="s">
        <v>2323</v>
      </c>
      <c r="J1259" s="104">
        <v>0.0</v>
      </c>
      <c r="K1259" s="110" t="s">
        <v>2861</v>
      </c>
      <c r="L1259" s="84"/>
    </row>
    <row r="1260">
      <c r="A1260" s="110" t="s">
        <v>2332</v>
      </c>
      <c r="B1260" s="104">
        <v>0.0</v>
      </c>
      <c r="C1260" s="110" t="s">
        <v>839</v>
      </c>
      <c r="D1260" s="110" t="s">
        <v>226</v>
      </c>
      <c r="E1260" s="104">
        <v>0.0</v>
      </c>
      <c r="F1260" s="104">
        <v>2.51</v>
      </c>
      <c r="G1260" s="110" t="s">
        <v>2862</v>
      </c>
      <c r="H1260" s="112">
        <v>45980.0</v>
      </c>
      <c r="I1260" s="104">
        <v>0.0</v>
      </c>
      <c r="J1260" s="104">
        <v>0.0</v>
      </c>
      <c r="K1260" s="110" t="s">
        <v>2863</v>
      </c>
      <c r="L1260" s="84"/>
    </row>
    <row r="1261">
      <c r="A1261" s="110" t="s">
        <v>2334</v>
      </c>
      <c r="B1261" s="104">
        <v>0.0</v>
      </c>
      <c r="C1261" s="110" t="s">
        <v>551</v>
      </c>
      <c r="D1261" s="110" t="s">
        <v>552</v>
      </c>
      <c r="E1261" s="104">
        <v>0.0</v>
      </c>
      <c r="F1261" s="104">
        <v>40.8</v>
      </c>
      <c r="G1261" s="110" t="s">
        <v>238</v>
      </c>
      <c r="H1261" s="112">
        <v>45772.0</v>
      </c>
      <c r="I1261" s="104">
        <v>0.0</v>
      </c>
      <c r="J1261" s="104">
        <v>0.0</v>
      </c>
      <c r="K1261" s="110" t="s">
        <v>2864</v>
      </c>
      <c r="L1261" s="84"/>
    </row>
    <row r="1262">
      <c r="A1262" s="110" t="s">
        <v>2336</v>
      </c>
      <c r="B1262" s="110" t="s">
        <v>2865</v>
      </c>
      <c r="C1262" s="110" t="s">
        <v>293</v>
      </c>
      <c r="D1262" s="110" t="s">
        <v>210</v>
      </c>
      <c r="E1262" s="104">
        <v>0.0</v>
      </c>
      <c r="F1262" s="104">
        <v>85.4</v>
      </c>
      <c r="G1262" s="110" t="s">
        <v>540</v>
      </c>
      <c r="H1262" s="112">
        <v>44887.0</v>
      </c>
      <c r="I1262" s="104">
        <v>0.0</v>
      </c>
      <c r="J1262" s="104">
        <v>0.0</v>
      </c>
      <c r="K1262" s="110" t="s">
        <v>2866</v>
      </c>
      <c r="L1262" s="84"/>
    </row>
    <row r="1263">
      <c r="A1263" s="110" t="s">
        <v>2336</v>
      </c>
      <c r="B1263" s="104">
        <v>0.0</v>
      </c>
      <c r="C1263" s="110" t="s">
        <v>247</v>
      </c>
      <c r="D1263" s="110" t="s">
        <v>210</v>
      </c>
      <c r="E1263" s="104">
        <v>0.0</v>
      </c>
      <c r="F1263" s="104">
        <v>0.0</v>
      </c>
      <c r="G1263" s="104">
        <v>0.0</v>
      </c>
      <c r="H1263" s="104" t="s">
        <v>232</v>
      </c>
      <c r="I1263" s="104">
        <v>0.0</v>
      </c>
      <c r="J1263" s="104">
        <v>0.0</v>
      </c>
      <c r="K1263" s="110" t="s">
        <v>2867</v>
      </c>
      <c r="L1263" s="84"/>
    </row>
    <row r="1264">
      <c r="A1264" s="110" t="s">
        <v>2338</v>
      </c>
      <c r="B1264" s="104">
        <v>0.0</v>
      </c>
      <c r="C1264" s="110" t="s">
        <v>2868</v>
      </c>
      <c r="D1264" s="110" t="s">
        <v>226</v>
      </c>
      <c r="E1264" s="104">
        <v>0.0</v>
      </c>
      <c r="F1264" s="104">
        <v>319.3</v>
      </c>
      <c r="G1264" s="110" t="s">
        <v>338</v>
      </c>
      <c r="H1264" s="112">
        <v>45932.0</v>
      </c>
      <c r="I1264" s="104">
        <v>0.0</v>
      </c>
      <c r="J1264" s="104">
        <v>0.0</v>
      </c>
      <c r="K1264" s="110" t="s">
        <v>2869</v>
      </c>
      <c r="L1264" s="84"/>
    </row>
    <row r="1265">
      <c r="A1265" s="110" t="s">
        <v>2341</v>
      </c>
      <c r="B1265" s="104">
        <v>0.0</v>
      </c>
      <c r="C1265" s="110" t="s">
        <v>2868</v>
      </c>
      <c r="D1265" s="110" t="s">
        <v>226</v>
      </c>
      <c r="E1265" s="104">
        <v>0.0</v>
      </c>
      <c r="F1265" s="104">
        <v>303.95</v>
      </c>
      <c r="G1265" s="110" t="s">
        <v>338</v>
      </c>
      <c r="H1265" s="112">
        <v>45932.0</v>
      </c>
      <c r="I1265" s="104">
        <v>0.0</v>
      </c>
      <c r="J1265" s="104">
        <v>0.0</v>
      </c>
      <c r="K1265" s="110" t="s">
        <v>2870</v>
      </c>
      <c r="L1265" s="84"/>
    </row>
    <row r="1266">
      <c r="A1266" s="110" t="s">
        <v>2344</v>
      </c>
      <c r="B1266" s="110" t="s">
        <v>2344</v>
      </c>
      <c r="C1266" s="110" t="s">
        <v>293</v>
      </c>
      <c r="D1266" s="110" t="s">
        <v>226</v>
      </c>
      <c r="E1266" s="104">
        <v>0.0</v>
      </c>
      <c r="F1266" s="104">
        <v>465.21</v>
      </c>
      <c r="G1266" s="104">
        <v>0.0</v>
      </c>
      <c r="H1266" s="112">
        <v>44887.0</v>
      </c>
      <c r="I1266" s="104">
        <v>0.0</v>
      </c>
      <c r="J1266" s="104">
        <v>0.0</v>
      </c>
      <c r="K1266" s="110" t="s">
        <v>2871</v>
      </c>
      <c r="L1266" s="84"/>
    </row>
    <row r="1267">
      <c r="A1267" s="110" t="s">
        <v>2346</v>
      </c>
      <c r="B1267" s="110" t="s">
        <v>2346</v>
      </c>
      <c r="C1267" s="110" t="s">
        <v>293</v>
      </c>
      <c r="D1267" s="110" t="s">
        <v>226</v>
      </c>
      <c r="E1267" s="104">
        <v>0.0</v>
      </c>
      <c r="F1267" s="104">
        <v>495.2</v>
      </c>
      <c r="G1267" s="104">
        <v>0.0</v>
      </c>
      <c r="H1267" s="112">
        <v>44887.0</v>
      </c>
      <c r="I1267" s="110" t="s">
        <v>2872</v>
      </c>
      <c r="J1267" s="104">
        <v>0.0</v>
      </c>
      <c r="K1267" s="110" t="s">
        <v>2873</v>
      </c>
      <c r="L1267" s="84"/>
    </row>
    <row r="1268">
      <c r="A1268" s="110" t="s">
        <v>2348</v>
      </c>
      <c r="B1268" s="104">
        <v>0.0</v>
      </c>
      <c r="C1268" s="104">
        <v>0.0</v>
      </c>
      <c r="D1268" s="110" t="s">
        <v>217</v>
      </c>
      <c r="E1268" s="104">
        <v>0.0</v>
      </c>
      <c r="F1268" s="104">
        <v>3.25</v>
      </c>
      <c r="G1268" s="110" t="s">
        <v>2874</v>
      </c>
      <c r="H1268" s="112">
        <v>45706.0</v>
      </c>
      <c r="I1268" s="110" t="s">
        <v>2872</v>
      </c>
      <c r="J1268" s="104">
        <v>0.0</v>
      </c>
      <c r="K1268" s="110" t="s">
        <v>2875</v>
      </c>
      <c r="L1268" s="84"/>
    </row>
    <row r="1269">
      <c r="A1269" s="110" t="s">
        <v>2351</v>
      </c>
      <c r="B1269" s="104">
        <v>0.0</v>
      </c>
      <c r="C1269" s="110" t="s">
        <v>209</v>
      </c>
      <c r="D1269" s="110" t="s">
        <v>217</v>
      </c>
      <c r="E1269" s="104">
        <v>0.0</v>
      </c>
      <c r="F1269" s="104">
        <v>5.5</v>
      </c>
      <c r="G1269" s="110" t="s">
        <v>238</v>
      </c>
      <c r="H1269" s="112">
        <v>45828.0</v>
      </c>
      <c r="I1269" s="110" t="s">
        <v>2348</v>
      </c>
      <c r="J1269" s="104">
        <v>0.0</v>
      </c>
      <c r="K1269" s="110" t="s">
        <v>2876</v>
      </c>
      <c r="L1269" s="84"/>
    </row>
    <row r="1270">
      <c r="A1270" s="110" t="s">
        <v>2351</v>
      </c>
      <c r="B1270" s="104">
        <v>0.0</v>
      </c>
      <c r="C1270" s="110" t="s">
        <v>209</v>
      </c>
      <c r="D1270" s="110" t="s">
        <v>267</v>
      </c>
      <c r="E1270" s="104">
        <v>5.0</v>
      </c>
      <c r="F1270" s="104">
        <v>5.0</v>
      </c>
      <c r="G1270" s="110" t="s">
        <v>238</v>
      </c>
      <c r="H1270" s="112">
        <v>45987.0</v>
      </c>
      <c r="I1270" s="110" t="s">
        <v>2351</v>
      </c>
      <c r="J1270" s="104">
        <v>0.0</v>
      </c>
      <c r="K1270" s="110" t="s">
        <v>2876</v>
      </c>
      <c r="L1270" s="84"/>
    </row>
    <row r="1271">
      <c r="A1271" s="110" t="s">
        <v>2355</v>
      </c>
      <c r="B1271" s="104">
        <v>0.0</v>
      </c>
      <c r="C1271" s="110" t="s">
        <v>200</v>
      </c>
      <c r="D1271" s="110" t="s">
        <v>217</v>
      </c>
      <c r="E1271" s="104">
        <v>0.0</v>
      </c>
      <c r="F1271" s="104">
        <v>3.35</v>
      </c>
      <c r="G1271" s="110" t="s">
        <v>238</v>
      </c>
      <c r="H1271" s="112">
        <v>45827.0</v>
      </c>
      <c r="I1271" s="110" t="s">
        <v>2348</v>
      </c>
      <c r="J1271" s="104">
        <v>0.0</v>
      </c>
      <c r="K1271" s="110" t="s">
        <v>2877</v>
      </c>
      <c r="L1271" s="84"/>
    </row>
    <row r="1272">
      <c r="A1272" s="110" t="s">
        <v>2357</v>
      </c>
      <c r="B1272" s="104">
        <v>0.0</v>
      </c>
      <c r="C1272" s="110" t="s">
        <v>618</v>
      </c>
      <c r="D1272" s="110" t="s">
        <v>217</v>
      </c>
      <c r="E1272" s="104">
        <v>0.0</v>
      </c>
      <c r="F1272" s="104">
        <v>3.7</v>
      </c>
      <c r="G1272" s="110" t="s">
        <v>238</v>
      </c>
      <c r="H1272" s="112">
        <v>45838.0</v>
      </c>
      <c r="I1272" s="110" t="s">
        <v>2348</v>
      </c>
      <c r="J1272" s="104">
        <v>0.0</v>
      </c>
      <c r="K1272" s="110" t="s">
        <v>2878</v>
      </c>
      <c r="L1272" s="84"/>
    </row>
    <row r="1273">
      <c r="A1273" s="110" t="s">
        <v>2359</v>
      </c>
      <c r="B1273" s="104">
        <v>0.0</v>
      </c>
      <c r="C1273" s="110" t="s">
        <v>209</v>
      </c>
      <c r="D1273" s="110" t="s">
        <v>217</v>
      </c>
      <c r="E1273" s="104">
        <v>0.0</v>
      </c>
      <c r="F1273" s="104">
        <v>0.0</v>
      </c>
      <c r="G1273" s="104">
        <v>0.0</v>
      </c>
      <c r="H1273" s="104" t="s">
        <v>232</v>
      </c>
      <c r="I1273" s="104">
        <v>0.0</v>
      </c>
      <c r="J1273" s="104">
        <v>0.0</v>
      </c>
      <c r="K1273" s="110" t="s">
        <v>2879</v>
      </c>
      <c r="L1273" s="84"/>
    </row>
    <row r="1274">
      <c r="A1274" s="110" t="s">
        <v>2360</v>
      </c>
      <c r="B1274" s="104">
        <v>0.0</v>
      </c>
      <c r="C1274" s="110" t="s">
        <v>780</v>
      </c>
      <c r="D1274" s="110" t="s">
        <v>201</v>
      </c>
      <c r="E1274" s="104">
        <v>0.0</v>
      </c>
      <c r="F1274" s="104">
        <v>15.48</v>
      </c>
      <c r="G1274" s="110" t="s">
        <v>443</v>
      </c>
      <c r="H1274" s="112">
        <v>45967.0</v>
      </c>
      <c r="I1274" s="104">
        <v>0.0</v>
      </c>
      <c r="J1274" s="104">
        <v>0.0</v>
      </c>
      <c r="K1274" s="110" t="s">
        <v>2880</v>
      </c>
      <c r="L1274" s="84"/>
    </row>
    <row r="1275">
      <c r="A1275" s="110" t="s">
        <v>2362</v>
      </c>
      <c r="B1275" s="104">
        <v>0.0</v>
      </c>
      <c r="C1275" s="110" t="s">
        <v>2881</v>
      </c>
      <c r="D1275" s="110" t="s">
        <v>210</v>
      </c>
      <c r="E1275" s="104">
        <v>0.0</v>
      </c>
      <c r="F1275" s="104">
        <v>360.0</v>
      </c>
      <c r="G1275" s="110" t="s">
        <v>302</v>
      </c>
      <c r="H1275" s="112">
        <v>45746.0</v>
      </c>
      <c r="I1275" s="110" t="s">
        <v>2882</v>
      </c>
      <c r="J1275" s="104">
        <v>0.0</v>
      </c>
      <c r="K1275" s="110" t="s">
        <v>2883</v>
      </c>
      <c r="L1275" s="84"/>
    </row>
    <row r="1276">
      <c r="A1276" s="110" t="s">
        <v>2365</v>
      </c>
      <c r="B1276" s="104">
        <v>0.0</v>
      </c>
      <c r="C1276" s="110" t="s">
        <v>209</v>
      </c>
      <c r="D1276" s="110" t="s">
        <v>217</v>
      </c>
      <c r="E1276" s="104">
        <v>0.0</v>
      </c>
      <c r="F1276" s="104">
        <v>0.0</v>
      </c>
      <c r="G1276" s="104">
        <v>0.0</v>
      </c>
      <c r="H1276" s="104" t="s">
        <v>232</v>
      </c>
      <c r="I1276" s="104">
        <v>0.0</v>
      </c>
      <c r="J1276" s="104">
        <v>0.0</v>
      </c>
      <c r="K1276" s="110" t="s">
        <v>2884</v>
      </c>
      <c r="L1276" s="84"/>
    </row>
    <row r="1277">
      <c r="A1277" s="110" t="s">
        <v>2367</v>
      </c>
      <c r="B1277" s="104">
        <v>0.0</v>
      </c>
      <c r="C1277" s="110" t="s">
        <v>209</v>
      </c>
      <c r="D1277" s="110" t="s">
        <v>217</v>
      </c>
      <c r="E1277" s="104">
        <v>0.0</v>
      </c>
      <c r="F1277" s="104">
        <v>65.0</v>
      </c>
      <c r="G1277" s="110" t="s">
        <v>238</v>
      </c>
      <c r="H1277" s="112">
        <v>45915.0</v>
      </c>
      <c r="I1277" s="110" t="s">
        <v>2367</v>
      </c>
      <c r="J1277" s="104">
        <v>0.0</v>
      </c>
      <c r="K1277" s="110" t="s">
        <v>2885</v>
      </c>
      <c r="L1277" s="84"/>
    </row>
    <row r="1278">
      <c r="A1278" s="110" t="s">
        <v>2369</v>
      </c>
      <c r="B1278" s="104">
        <v>0.0</v>
      </c>
      <c r="C1278" s="110" t="s">
        <v>337</v>
      </c>
      <c r="D1278" s="110" t="s">
        <v>217</v>
      </c>
      <c r="E1278" s="104">
        <v>0.0</v>
      </c>
      <c r="F1278" s="104">
        <v>39.0</v>
      </c>
      <c r="G1278" s="110" t="s">
        <v>238</v>
      </c>
      <c r="H1278" s="112">
        <v>45603.0</v>
      </c>
      <c r="I1278" s="104">
        <v>0.0</v>
      </c>
      <c r="J1278" s="104">
        <v>0.0</v>
      </c>
      <c r="K1278" s="110" t="s">
        <v>2886</v>
      </c>
      <c r="L1278" s="84"/>
    </row>
    <row r="1279">
      <c r="A1279" s="110" t="s">
        <v>2371</v>
      </c>
      <c r="B1279" s="104">
        <v>0.0</v>
      </c>
      <c r="C1279" s="110" t="s">
        <v>209</v>
      </c>
      <c r="D1279" s="110" t="s">
        <v>217</v>
      </c>
      <c r="E1279" s="104">
        <v>42.5</v>
      </c>
      <c r="F1279" s="104">
        <v>42.5</v>
      </c>
      <c r="G1279" s="110" t="s">
        <v>238</v>
      </c>
      <c r="H1279" s="112">
        <v>45987.0</v>
      </c>
      <c r="I1279" s="110" t="s">
        <v>2371</v>
      </c>
      <c r="J1279" s="104">
        <v>0.0</v>
      </c>
      <c r="K1279" s="110" t="s">
        <v>2887</v>
      </c>
      <c r="L1279" s="84"/>
    </row>
    <row r="1280">
      <c r="A1280" s="110" t="s">
        <v>2375</v>
      </c>
      <c r="B1280" s="104">
        <v>0.0</v>
      </c>
      <c r="C1280" s="110" t="s">
        <v>209</v>
      </c>
      <c r="D1280" s="110" t="s">
        <v>217</v>
      </c>
      <c r="E1280" s="104">
        <v>0.0</v>
      </c>
      <c r="F1280" s="104">
        <v>43.5</v>
      </c>
      <c r="G1280" s="110" t="s">
        <v>238</v>
      </c>
      <c r="H1280" s="112">
        <v>45846.0</v>
      </c>
      <c r="I1280" s="110" t="s">
        <v>2371</v>
      </c>
      <c r="J1280" s="104">
        <v>0.0</v>
      </c>
      <c r="K1280" s="110" t="s">
        <v>2888</v>
      </c>
      <c r="L1280" s="84"/>
    </row>
    <row r="1281">
      <c r="A1281" s="110" t="s">
        <v>2376</v>
      </c>
      <c r="B1281" s="104">
        <v>0.0</v>
      </c>
      <c r="C1281" s="110" t="s">
        <v>209</v>
      </c>
      <c r="D1281" s="110" t="s">
        <v>217</v>
      </c>
      <c r="E1281" s="104">
        <v>0.0</v>
      </c>
      <c r="F1281" s="104">
        <v>0.0</v>
      </c>
      <c r="G1281" s="104">
        <v>0.0</v>
      </c>
      <c r="H1281" s="104" t="s">
        <v>232</v>
      </c>
      <c r="I1281" s="104">
        <v>0.0</v>
      </c>
      <c r="J1281" s="104">
        <v>0.0</v>
      </c>
      <c r="K1281" s="110" t="s">
        <v>2889</v>
      </c>
      <c r="L1281" s="84"/>
    </row>
    <row r="1282">
      <c r="A1282" s="110" t="s">
        <v>2376</v>
      </c>
      <c r="B1282" s="104">
        <v>0.0</v>
      </c>
      <c r="C1282" s="110" t="s">
        <v>209</v>
      </c>
      <c r="D1282" s="110" t="s">
        <v>217</v>
      </c>
      <c r="E1282" s="104">
        <v>0.0</v>
      </c>
      <c r="F1282" s="104">
        <v>39.0</v>
      </c>
      <c r="G1282" s="110" t="s">
        <v>238</v>
      </c>
      <c r="H1282" s="112">
        <v>45846.0</v>
      </c>
      <c r="I1282" s="110" t="s">
        <v>2376</v>
      </c>
      <c r="J1282" s="104">
        <v>0.0</v>
      </c>
      <c r="K1282" s="110" t="s">
        <v>2889</v>
      </c>
      <c r="L1282" s="84"/>
    </row>
    <row r="1283">
      <c r="A1283" s="110" t="s">
        <v>2377</v>
      </c>
      <c r="B1283" s="104">
        <v>0.0</v>
      </c>
      <c r="C1283" s="110" t="s">
        <v>256</v>
      </c>
      <c r="D1283" s="110" t="s">
        <v>612</v>
      </c>
      <c r="E1283" s="104">
        <v>0.0</v>
      </c>
      <c r="F1283" s="104">
        <v>23.38</v>
      </c>
      <c r="G1283" s="110" t="s">
        <v>557</v>
      </c>
      <c r="H1283" s="112">
        <v>45910.0</v>
      </c>
      <c r="I1283" s="110" t="s">
        <v>2377</v>
      </c>
      <c r="J1283" s="104">
        <v>0.0</v>
      </c>
      <c r="K1283" s="110" t="s">
        <v>2890</v>
      </c>
      <c r="L1283" s="84"/>
    </row>
    <row r="1284">
      <c r="A1284" s="110" t="s">
        <v>2380</v>
      </c>
      <c r="B1284" s="104">
        <v>0.0</v>
      </c>
      <c r="C1284" s="110" t="s">
        <v>256</v>
      </c>
      <c r="D1284" s="110" t="s">
        <v>612</v>
      </c>
      <c r="E1284" s="104">
        <v>0.0</v>
      </c>
      <c r="F1284" s="104">
        <v>28.46</v>
      </c>
      <c r="G1284" s="110" t="s">
        <v>557</v>
      </c>
      <c r="H1284" s="112">
        <v>45910.0</v>
      </c>
      <c r="I1284" s="110" t="s">
        <v>2380</v>
      </c>
      <c r="J1284" s="104">
        <v>0.0</v>
      </c>
      <c r="K1284" s="110" t="s">
        <v>2891</v>
      </c>
      <c r="L1284" s="84"/>
    </row>
    <row r="1285">
      <c r="A1285" s="110" t="s">
        <v>2382</v>
      </c>
      <c r="B1285" s="104">
        <v>0.0</v>
      </c>
      <c r="C1285" s="110" t="s">
        <v>256</v>
      </c>
      <c r="D1285" s="110" t="s">
        <v>612</v>
      </c>
      <c r="E1285" s="104">
        <v>0.0</v>
      </c>
      <c r="F1285" s="104">
        <v>27.03</v>
      </c>
      <c r="G1285" s="104">
        <v>22.68</v>
      </c>
      <c r="H1285" s="112">
        <v>45966.0</v>
      </c>
      <c r="I1285" s="104">
        <v>0.0</v>
      </c>
      <c r="J1285" s="104">
        <v>0.0</v>
      </c>
      <c r="K1285" s="110" t="s">
        <v>2892</v>
      </c>
      <c r="L1285" s="84"/>
    </row>
    <row r="1286">
      <c r="A1286" s="110" t="s">
        <v>2386</v>
      </c>
      <c r="B1286" s="104">
        <v>0.0</v>
      </c>
      <c r="C1286" s="110" t="s">
        <v>256</v>
      </c>
      <c r="D1286" s="110" t="s">
        <v>612</v>
      </c>
      <c r="E1286" s="104">
        <v>0.0</v>
      </c>
      <c r="F1286" s="104">
        <v>33.77</v>
      </c>
      <c r="G1286" s="110" t="s">
        <v>2893</v>
      </c>
      <c r="H1286" s="112">
        <v>45833.0</v>
      </c>
      <c r="I1286" s="110" t="s">
        <v>2620</v>
      </c>
      <c r="J1286" s="104">
        <v>0.0</v>
      </c>
      <c r="K1286" s="110" t="s">
        <v>2894</v>
      </c>
      <c r="L1286" s="84"/>
    </row>
    <row r="1287">
      <c r="A1287" s="110" t="s">
        <v>2386</v>
      </c>
      <c r="B1287" s="104">
        <v>0.0</v>
      </c>
      <c r="C1287" s="110" t="s">
        <v>256</v>
      </c>
      <c r="D1287" s="110" t="s">
        <v>612</v>
      </c>
      <c r="E1287" s="104">
        <v>0.0</v>
      </c>
      <c r="F1287" s="104">
        <v>28.41</v>
      </c>
      <c r="G1287" s="110" t="s">
        <v>2895</v>
      </c>
      <c r="H1287" s="112">
        <v>45833.0</v>
      </c>
      <c r="I1287" s="110" t="s">
        <v>2620</v>
      </c>
      <c r="J1287" s="104">
        <v>0.0</v>
      </c>
      <c r="K1287" s="110" t="s">
        <v>2894</v>
      </c>
      <c r="L1287" s="84"/>
    </row>
    <row r="1288">
      <c r="A1288" s="110" t="s">
        <v>2386</v>
      </c>
      <c r="B1288" s="104">
        <v>0.0</v>
      </c>
      <c r="C1288" s="110" t="s">
        <v>256</v>
      </c>
      <c r="D1288" s="110" t="s">
        <v>612</v>
      </c>
      <c r="E1288" s="104">
        <v>0.0</v>
      </c>
      <c r="F1288" s="104">
        <v>23.08</v>
      </c>
      <c r="G1288" s="110" t="s">
        <v>2896</v>
      </c>
      <c r="H1288" s="112">
        <v>45833.0</v>
      </c>
      <c r="I1288" s="110" t="s">
        <v>2620</v>
      </c>
      <c r="J1288" s="104">
        <v>0.0</v>
      </c>
      <c r="K1288" s="110" t="s">
        <v>2894</v>
      </c>
      <c r="L1288" s="84"/>
    </row>
    <row r="1289">
      <c r="A1289" s="110" t="s">
        <v>2388</v>
      </c>
      <c r="B1289" s="104">
        <v>0.0</v>
      </c>
      <c r="C1289" s="110" t="s">
        <v>256</v>
      </c>
      <c r="D1289" s="110" t="s">
        <v>612</v>
      </c>
      <c r="E1289" s="104">
        <v>0.0</v>
      </c>
      <c r="F1289" s="104">
        <v>33.61</v>
      </c>
      <c r="G1289" s="110" t="s">
        <v>2897</v>
      </c>
      <c r="H1289" s="112">
        <v>45833.0</v>
      </c>
      <c r="I1289" s="110" t="s">
        <v>2620</v>
      </c>
      <c r="J1289" s="104">
        <v>0.0</v>
      </c>
      <c r="K1289" s="110" t="s">
        <v>2898</v>
      </c>
      <c r="L1289" s="84"/>
    </row>
    <row r="1290">
      <c r="A1290" s="110" t="s">
        <v>2388</v>
      </c>
      <c r="B1290" s="104">
        <v>0.0</v>
      </c>
      <c r="C1290" s="110" t="s">
        <v>256</v>
      </c>
      <c r="D1290" s="110" t="s">
        <v>612</v>
      </c>
      <c r="E1290" s="104">
        <v>0.0</v>
      </c>
      <c r="F1290" s="104">
        <v>28.26</v>
      </c>
      <c r="G1290" s="110" t="s">
        <v>2899</v>
      </c>
      <c r="H1290" s="112">
        <v>45833.0</v>
      </c>
      <c r="I1290" s="110" t="s">
        <v>2620</v>
      </c>
      <c r="J1290" s="104">
        <v>0.0</v>
      </c>
      <c r="K1290" s="110" t="s">
        <v>2898</v>
      </c>
      <c r="L1290" s="84"/>
    </row>
    <row r="1291">
      <c r="A1291" s="110" t="s">
        <v>2388</v>
      </c>
      <c r="B1291" s="104">
        <v>0.0</v>
      </c>
      <c r="C1291" s="110" t="s">
        <v>256</v>
      </c>
      <c r="D1291" s="110" t="s">
        <v>612</v>
      </c>
      <c r="E1291" s="104">
        <v>0.0</v>
      </c>
      <c r="F1291" s="104">
        <v>22.93</v>
      </c>
      <c r="G1291" s="110" t="s">
        <v>2900</v>
      </c>
      <c r="H1291" s="112">
        <v>45833.0</v>
      </c>
      <c r="I1291" s="110" t="s">
        <v>2620</v>
      </c>
      <c r="J1291" s="104">
        <v>0.0</v>
      </c>
      <c r="K1291" s="110" t="s">
        <v>2898</v>
      </c>
      <c r="L1291" s="84"/>
    </row>
    <row r="1292">
      <c r="A1292" s="110" t="s">
        <v>2391</v>
      </c>
      <c r="B1292" s="104">
        <v>0.0</v>
      </c>
      <c r="C1292" s="110" t="s">
        <v>221</v>
      </c>
      <c r="D1292" s="104">
        <v>0.0</v>
      </c>
      <c r="E1292" s="104">
        <v>0.0</v>
      </c>
      <c r="F1292" s="110" t="s">
        <v>222</v>
      </c>
      <c r="G1292" s="110" t="s">
        <v>2901</v>
      </c>
      <c r="H1292" s="112">
        <v>45807.0</v>
      </c>
      <c r="I1292" s="104">
        <v>0.0</v>
      </c>
      <c r="J1292" s="104">
        <v>0.0</v>
      </c>
      <c r="K1292" s="110" t="s">
        <v>2902</v>
      </c>
      <c r="L1292" s="84"/>
    </row>
    <row r="1293">
      <c r="A1293" s="110" t="s">
        <v>2392</v>
      </c>
      <c r="B1293" s="104">
        <v>0.0</v>
      </c>
      <c r="C1293" s="110" t="s">
        <v>221</v>
      </c>
      <c r="D1293" s="110" t="s">
        <v>217</v>
      </c>
      <c r="E1293" s="104">
        <v>0.0</v>
      </c>
      <c r="F1293" s="110" t="s">
        <v>227</v>
      </c>
      <c r="G1293" s="110" t="s">
        <v>2903</v>
      </c>
      <c r="H1293" s="112">
        <v>45854.0</v>
      </c>
      <c r="I1293" s="104">
        <v>0.0</v>
      </c>
      <c r="J1293" s="104">
        <v>0.0</v>
      </c>
      <c r="K1293" s="110" t="s">
        <v>2904</v>
      </c>
      <c r="L1293" s="84"/>
    </row>
    <row r="1294">
      <c r="A1294" s="110" t="s">
        <v>2393</v>
      </c>
      <c r="B1294" s="104">
        <v>0.0</v>
      </c>
      <c r="C1294" s="110" t="s">
        <v>2905</v>
      </c>
      <c r="D1294" s="104">
        <v>0.0</v>
      </c>
      <c r="E1294" s="104">
        <v>0.0</v>
      </c>
      <c r="F1294" s="104">
        <v>6.26</v>
      </c>
      <c r="G1294" s="110" t="s">
        <v>1484</v>
      </c>
      <c r="H1294" s="112">
        <v>45821.0</v>
      </c>
      <c r="I1294" s="104">
        <v>0.0</v>
      </c>
      <c r="J1294" s="104">
        <v>0.0</v>
      </c>
      <c r="K1294" s="110" t="s">
        <v>2906</v>
      </c>
      <c r="L1294" s="84"/>
    </row>
    <row r="1295">
      <c r="A1295" s="110" t="s">
        <v>2394</v>
      </c>
      <c r="B1295" s="110" t="s">
        <v>2907</v>
      </c>
      <c r="C1295" s="110" t="s">
        <v>2908</v>
      </c>
      <c r="D1295" s="110" t="s">
        <v>210</v>
      </c>
      <c r="E1295" s="104">
        <v>0.0</v>
      </c>
      <c r="F1295" s="104">
        <v>1200.0</v>
      </c>
      <c r="G1295" s="110" t="s">
        <v>2909</v>
      </c>
      <c r="H1295" s="112">
        <v>45884.0</v>
      </c>
      <c r="I1295" s="110" t="s">
        <v>2910</v>
      </c>
      <c r="J1295" s="104">
        <v>0.0</v>
      </c>
      <c r="K1295" s="110" t="s">
        <v>2911</v>
      </c>
      <c r="L1295" s="84"/>
    </row>
    <row r="1296">
      <c r="A1296" s="110" t="s">
        <v>2398</v>
      </c>
      <c r="B1296" s="104">
        <v>0.0</v>
      </c>
      <c r="C1296" s="110" t="s">
        <v>209</v>
      </c>
      <c r="D1296" s="110" t="s">
        <v>217</v>
      </c>
      <c r="E1296" s="104">
        <v>0.0</v>
      </c>
      <c r="F1296" s="104">
        <v>0.0</v>
      </c>
      <c r="G1296" s="104">
        <v>0.0</v>
      </c>
      <c r="H1296" s="104" t="s">
        <v>232</v>
      </c>
      <c r="I1296" s="104">
        <v>0.0</v>
      </c>
      <c r="J1296" s="104">
        <v>0.0</v>
      </c>
      <c r="K1296" s="110" t="s">
        <v>2912</v>
      </c>
      <c r="L1296" s="84"/>
    </row>
    <row r="1297">
      <c r="A1297" s="110" t="s">
        <v>2400</v>
      </c>
      <c r="B1297" s="104">
        <v>0.0</v>
      </c>
      <c r="C1297" s="110" t="s">
        <v>344</v>
      </c>
      <c r="D1297" s="110" t="s">
        <v>210</v>
      </c>
      <c r="E1297" s="104">
        <v>0.0</v>
      </c>
      <c r="F1297" s="104">
        <v>0.0</v>
      </c>
      <c r="G1297" s="104">
        <v>0.0</v>
      </c>
      <c r="H1297" s="112">
        <v>45849.0</v>
      </c>
      <c r="I1297" s="104">
        <v>0.0</v>
      </c>
      <c r="J1297" s="104">
        <v>0.0</v>
      </c>
      <c r="K1297" s="110" t="s">
        <v>2913</v>
      </c>
      <c r="L1297" s="84"/>
    </row>
    <row r="1298">
      <c r="A1298" s="110" t="s">
        <v>2402</v>
      </c>
      <c r="B1298" s="110" t="s">
        <v>2402</v>
      </c>
      <c r="C1298" s="110" t="s">
        <v>845</v>
      </c>
      <c r="D1298" s="110" t="s">
        <v>322</v>
      </c>
      <c r="E1298" s="104">
        <v>0.0</v>
      </c>
      <c r="F1298" s="104">
        <v>0.53</v>
      </c>
      <c r="G1298" s="104">
        <v>0.0</v>
      </c>
      <c r="H1298" s="112">
        <v>44795.0</v>
      </c>
      <c r="I1298" s="104">
        <v>0.0</v>
      </c>
      <c r="J1298" s="104">
        <v>0.0</v>
      </c>
      <c r="K1298" s="110" t="s">
        <v>2914</v>
      </c>
      <c r="L1298" s="84"/>
    </row>
    <row r="1299">
      <c r="A1299" s="110" t="s">
        <v>2404</v>
      </c>
      <c r="B1299" s="110" t="s">
        <v>2404</v>
      </c>
      <c r="C1299" s="110" t="s">
        <v>2915</v>
      </c>
      <c r="D1299" s="110" t="s">
        <v>217</v>
      </c>
      <c r="E1299" s="104">
        <v>0.0</v>
      </c>
      <c r="F1299" s="104">
        <v>0.0</v>
      </c>
      <c r="G1299" s="104">
        <v>0.0</v>
      </c>
      <c r="H1299" s="104" t="s">
        <v>232</v>
      </c>
      <c r="I1299" s="104">
        <v>0.0</v>
      </c>
      <c r="J1299" s="104">
        <v>0.0</v>
      </c>
      <c r="K1299" s="110" t="s">
        <v>2916</v>
      </c>
      <c r="L1299" s="84"/>
    </row>
    <row r="1300">
      <c r="A1300" s="110" t="s">
        <v>2406</v>
      </c>
      <c r="B1300" s="104">
        <v>0.0</v>
      </c>
      <c r="C1300" s="110" t="s">
        <v>317</v>
      </c>
      <c r="D1300" s="110" t="s">
        <v>210</v>
      </c>
      <c r="E1300" s="104">
        <v>0.0</v>
      </c>
      <c r="F1300" s="104">
        <v>105.0</v>
      </c>
      <c r="G1300" s="104">
        <v>0.0</v>
      </c>
      <c r="H1300" s="112">
        <v>45874.0</v>
      </c>
      <c r="I1300" s="104">
        <v>0.0</v>
      </c>
      <c r="J1300" s="104">
        <v>0.0</v>
      </c>
      <c r="K1300" s="110" t="s">
        <v>2917</v>
      </c>
      <c r="L1300" s="84"/>
    </row>
    <row r="1301">
      <c r="A1301" s="110" t="s">
        <v>2408</v>
      </c>
      <c r="B1301" s="110" t="s">
        <v>2918</v>
      </c>
      <c r="C1301" s="110" t="s">
        <v>720</v>
      </c>
      <c r="D1301" s="110" t="s">
        <v>210</v>
      </c>
      <c r="E1301" s="104">
        <v>0.0</v>
      </c>
      <c r="F1301" s="104">
        <v>60.0</v>
      </c>
      <c r="G1301" s="110" t="s">
        <v>721</v>
      </c>
      <c r="H1301" s="112">
        <v>45741.0</v>
      </c>
      <c r="I1301" s="104">
        <v>0.0</v>
      </c>
      <c r="J1301" s="104">
        <v>0.0</v>
      </c>
      <c r="K1301" s="110" t="s">
        <v>2919</v>
      </c>
      <c r="L1301" s="84"/>
    </row>
    <row r="1302">
      <c r="A1302" s="110" t="s">
        <v>2408</v>
      </c>
      <c r="B1302" s="110" t="s">
        <v>2918</v>
      </c>
      <c r="C1302" s="110" t="s">
        <v>720</v>
      </c>
      <c r="D1302" s="110" t="s">
        <v>210</v>
      </c>
      <c r="E1302" s="104">
        <v>0.0</v>
      </c>
      <c r="F1302" s="104">
        <v>57.0</v>
      </c>
      <c r="G1302" s="110" t="s">
        <v>724</v>
      </c>
      <c r="H1302" s="112">
        <v>45741.0</v>
      </c>
      <c r="I1302" s="104">
        <v>0.0</v>
      </c>
      <c r="J1302" s="104">
        <v>0.0</v>
      </c>
      <c r="K1302" s="110" t="s">
        <v>2919</v>
      </c>
      <c r="L1302" s="84"/>
    </row>
    <row r="1303">
      <c r="A1303" s="110" t="s">
        <v>2408</v>
      </c>
      <c r="B1303" s="110" t="s">
        <v>2918</v>
      </c>
      <c r="C1303" s="110" t="s">
        <v>720</v>
      </c>
      <c r="D1303" s="110" t="s">
        <v>210</v>
      </c>
      <c r="E1303" s="104">
        <v>0.0</v>
      </c>
      <c r="F1303" s="104">
        <v>52.0</v>
      </c>
      <c r="G1303" s="110" t="s">
        <v>726</v>
      </c>
      <c r="H1303" s="112">
        <v>45741.0</v>
      </c>
      <c r="I1303" s="104">
        <v>0.0</v>
      </c>
      <c r="J1303" s="104">
        <v>0.0</v>
      </c>
      <c r="K1303" s="110" t="s">
        <v>2919</v>
      </c>
      <c r="L1303" s="84"/>
    </row>
    <row r="1304">
      <c r="A1304" s="110" t="s">
        <v>2408</v>
      </c>
      <c r="B1304" s="110" t="s">
        <v>2918</v>
      </c>
      <c r="C1304" s="110" t="s">
        <v>720</v>
      </c>
      <c r="D1304" s="110" t="s">
        <v>210</v>
      </c>
      <c r="E1304" s="104">
        <v>0.0</v>
      </c>
      <c r="F1304" s="104">
        <v>50.0</v>
      </c>
      <c r="G1304" s="110" t="s">
        <v>728</v>
      </c>
      <c r="H1304" s="112">
        <v>45741.0</v>
      </c>
      <c r="I1304" s="104">
        <v>0.0</v>
      </c>
      <c r="J1304" s="104">
        <v>0.0</v>
      </c>
      <c r="K1304" s="110" t="s">
        <v>2919</v>
      </c>
      <c r="L1304" s="84"/>
    </row>
    <row r="1305">
      <c r="A1305" s="110" t="s">
        <v>2410</v>
      </c>
      <c r="B1305" s="104">
        <v>0.0</v>
      </c>
      <c r="C1305" s="110" t="s">
        <v>344</v>
      </c>
      <c r="D1305" s="110" t="s">
        <v>210</v>
      </c>
      <c r="E1305" s="104">
        <v>0.0</v>
      </c>
      <c r="F1305" s="104">
        <v>17.0</v>
      </c>
      <c r="G1305" s="110" t="s">
        <v>345</v>
      </c>
      <c r="H1305" s="112">
        <v>45854.0</v>
      </c>
      <c r="I1305" s="110" t="s">
        <v>2410</v>
      </c>
      <c r="J1305" s="104">
        <v>0.0</v>
      </c>
      <c r="K1305" s="110" t="s">
        <v>2920</v>
      </c>
      <c r="L1305" s="84"/>
    </row>
    <row r="1306">
      <c r="A1306" s="110" t="s">
        <v>2415</v>
      </c>
      <c r="B1306" s="104">
        <v>0.0</v>
      </c>
      <c r="C1306" s="110" t="s">
        <v>317</v>
      </c>
      <c r="D1306" s="110" t="s">
        <v>210</v>
      </c>
      <c r="E1306" s="104">
        <v>0.0</v>
      </c>
      <c r="F1306" s="110" t="s">
        <v>2921</v>
      </c>
      <c r="G1306" s="104">
        <v>0.0</v>
      </c>
      <c r="H1306" s="112">
        <v>45874.0</v>
      </c>
      <c r="I1306" s="104">
        <v>0.0</v>
      </c>
      <c r="J1306" s="104">
        <v>0.0</v>
      </c>
      <c r="K1306" s="110" t="s">
        <v>2922</v>
      </c>
      <c r="L1306" s="84"/>
    </row>
    <row r="1307">
      <c r="A1307" s="110" t="s">
        <v>2417</v>
      </c>
      <c r="B1307" s="104">
        <v>0.0</v>
      </c>
      <c r="C1307" s="110" t="s">
        <v>209</v>
      </c>
      <c r="D1307" s="110" t="s">
        <v>217</v>
      </c>
      <c r="E1307" s="104">
        <v>0.0</v>
      </c>
      <c r="F1307" s="104">
        <v>0.0</v>
      </c>
      <c r="G1307" s="104">
        <v>0.0</v>
      </c>
      <c r="H1307" s="104" t="s">
        <v>232</v>
      </c>
      <c r="I1307" s="104">
        <v>0.0</v>
      </c>
      <c r="J1307" s="104">
        <v>0.0</v>
      </c>
      <c r="K1307" s="110" t="s">
        <v>2923</v>
      </c>
      <c r="L1307" s="84"/>
    </row>
    <row r="1308">
      <c r="A1308" s="110" t="s">
        <v>2419</v>
      </c>
      <c r="B1308" s="110" t="s">
        <v>690</v>
      </c>
      <c r="C1308" s="110" t="s">
        <v>261</v>
      </c>
      <c r="D1308" s="110" t="s">
        <v>322</v>
      </c>
      <c r="E1308" s="104">
        <v>0.0</v>
      </c>
      <c r="F1308" s="104">
        <v>0.0</v>
      </c>
      <c r="G1308" s="104">
        <v>0.0</v>
      </c>
      <c r="H1308" s="112">
        <v>45869.0</v>
      </c>
      <c r="I1308" s="110" t="s">
        <v>2419</v>
      </c>
      <c r="J1308" s="104">
        <v>0.0</v>
      </c>
      <c r="K1308" s="110" t="s">
        <v>2924</v>
      </c>
      <c r="L1308" s="84"/>
    </row>
    <row r="1309">
      <c r="A1309" s="110" t="s">
        <v>2421</v>
      </c>
      <c r="B1309" s="104">
        <v>0.0</v>
      </c>
      <c r="C1309" s="110" t="s">
        <v>261</v>
      </c>
      <c r="D1309" s="110" t="s">
        <v>322</v>
      </c>
      <c r="E1309" s="104">
        <v>0.0</v>
      </c>
      <c r="F1309" s="104">
        <v>7.8</v>
      </c>
      <c r="G1309" s="110" t="s">
        <v>334</v>
      </c>
      <c r="H1309" s="112">
        <v>45929.0</v>
      </c>
      <c r="I1309" s="110" t="s">
        <v>2925</v>
      </c>
      <c r="J1309" s="104">
        <v>0.0</v>
      </c>
      <c r="K1309" s="110" t="s">
        <v>2926</v>
      </c>
      <c r="L1309" s="84"/>
    </row>
    <row r="1310">
      <c r="A1310" s="110" t="s">
        <v>2421</v>
      </c>
      <c r="B1310" s="104">
        <v>0.0</v>
      </c>
      <c r="C1310" s="110" t="s">
        <v>261</v>
      </c>
      <c r="D1310" s="110" t="s">
        <v>322</v>
      </c>
      <c r="E1310" s="104">
        <v>0.0</v>
      </c>
      <c r="F1310" s="104">
        <v>7.05</v>
      </c>
      <c r="G1310" s="110" t="s">
        <v>2333</v>
      </c>
      <c r="H1310" s="112">
        <v>45929.0</v>
      </c>
      <c r="I1310" s="110" t="s">
        <v>2925</v>
      </c>
      <c r="J1310" s="104">
        <v>0.0</v>
      </c>
      <c r="K1310" s="110" t="s">
        <v>2926</v>
      </c>
      <c r="L1310" s="84"/>
    </row>
    <row r="1311">
      <c r="A1311" s="110" t="s">
        <v>2423</v>
      </c>
      <c r="B1311" s="104">
        <v>0.0</v>
      </c>
      <c r="C1311" s="110" t="s">
        <v>261</v>
      </c>
      <c r="D1311" s="110" t="s">
        <v>322</v>
      </c>
      <c r="E1311" s="104">
        <v>0.0</v>
      </c>
      <c r="F1311" s="104">
        <v>11.8</v>
      </c>
      <c r="G1311" s="110" t="s">
        <v>451</v>
      </c>
      <c r="H1311" s="112">
        <v>45923.0</v>
      </c>
      <c r="I1311" s="110" t="s">
        <v>2927</v>
      </c>
      <c r="J1311" s="104">
        <v>0.0</v>
      </c>
      <c r="K1311" s="110" t="s">
        <v>2928</v>
      </c>
      <c r="L1311" s="84"/>
    </row>
    <row r="1312">
      <c r="A1312" s="110" t="s">
        <v>2425</v>
      </c>
      <c r="B1312" s="104">
        <v>0.0</v>
      </c>
      <c r="C1312" s="110" t="s">
        <v>337</v>
      </c>
      <c r="D1312" s="110" t="s">
        <v>322</v>
      </c>
      <c r="E1312" s="104">
        <v>0.0</v>
      </c>
      <c r="F1312" s="104">
        <v>26.46</v>
      </c>
      <c r="G1312" s="110" t="s">
        <v>2929</v>
      </c>
      <c r="H1312" s="112">
        <v>45835.0</v>
      </c>
      <c r="I1312" s="110" t="s">
        <v>2927</v>
      </c>
      <c r="J1312" s="104">
        <v>0.0</v>
      </c>
      <c r="K1312" s="110" t="s">
        <v>2930</v>
      </c>
      <c r="L1312" s="84"/>
    </row>
    <row r="1313">
      <c r="A1313" s="110" t="s">
        <v>2425</v>
      </c>
      <c r="B1313" s="104">
        <v>0.0</v>
      </c>
      <c r="C1313" s="110" t="s">
        <v>337</v>
      </c>
      <c r="D1313" s="110" t="s">
        <v>322</v>
      </c>
      <c r="E1313" s="104">
        <v>0.0</v>
      </c>
      <c r="F1313" s="104">
        <v>24.25</v>
      </c>
      <c r="G1313" s="110" t="s">
        <v>413</v>
      </c>
      <c r="H1313" s="112">
        <v>45835.0</v>
      </c>
      <c r="I1313" s="110" t="s">
        <v>2927</v>
      </c>
      <c r="J1313" s="104">
        <v>0.0</v>
      </c>
      <c r="K1313" s="110" t="s">
        <v>2930</v>
      </c>
      <c r="L1313" s="84"/>
    </row>
    <row r="1314">
      <c r="A1314" s="110" t="s">
        <v>2425</v>
      </c>
      <c r="B1314" s="104">
        <v>0.0</v>
      </c>
      <c r="C1314" s="110" t="s">
        <v>337</v>
      </c>
      <c r="D1314" s="110" t="s">
        <v>322</v>
      </c>
      <c r="E1314" s="104">
        <v>0.0</v>
      </c>
      <c r="F1314" s="104">
        <v>22.05</v>
      </c>
      <c r="G1314" s="110" t="s">
        <v>2600</v>
      </c>
      <c r="H1314" s="112">
        <v>45835.0</v>
      </c>
      <c r="I1314" s="110" t="s">
        <v>2927</v>
      </c>
      <c r="J1314" s="104">
        <v>0.0</v>
      </c>
      <c r="K1314" s="110" t="s">
        <v>2930</v>
      </c>
      <c r="L1314" s="84"/>
    </row>
    <row r="1315">
      <c r="A1315" s="110" t="s">
        <v>2427</v>
      </c>
      <c r="B1315" s="110" t="s">
        <v>1861</v>
      </c>
      <c r="C1315" s="110" t="s">
        <v>261</v>
      </c>
      <c r="D1315" s="110" t="s">
        <v>322</v>
      </c>
      <c r="E1315" s="104">
        <v>0.0</v>
      </c>
      <c r="F1315" s="104">
        <v>9.65</v>
      </c>
      <c r="G1315" s="110" t="s">
        <v>334</v>
      </c>
      <c r="H1315" s="112">
        <v>45895.0</v>
      </c>
      <c r="I1315" s="110" t="s">
        <v>2931</v>
      </c>
      <c r="J1315" s="104">
        <v>0.0</v>
      </c>
      <c r="K1315" s="110" t="s">
        <v>2932</v>
      </c>
      <c r="L1315" s="84"/>
    </row>
    <row r="1316">
      <c r="A1316" s="110" t="s">
        <v>2427</v>
      </c>
      <c r="B1316" s="110" t="s">
        <v>1861</v>
      </c>
      <c r="C1316" s="110" t="s">
        <v>261</v>
      </c>
      <c r="D1316" s="110" t="s">
        <v>322</v>
      </c>
      <c r="E1316" s="104">
        <v>0.0</v>
      </c>
      <c r="F1316" s="104">
        <v>8.05</v>
      </c>
      <c r="G1316" s="110" t="s">
        <v>268</v>
      </c>
      <c r="H1316" s="112">
        <v>45716.0</v>
      </c>
      <c r="I1316" s="110" t="s">
        <v>2931</v>
      </c>
      <c r="J1316" s="104">
        <v>0.0</v>
      </c>
      <c r="K1316" s="110" t="s">
        <v>2932</v>
      </c>
      <c r="L1316" s="84"/>
    </row>
    <row r="1317">
      <c r="A1317" s="110" t="s">
        <v>2427</v>
      </c>
      <c r="B1317" s="110" t="s">
        <v>1861</v>
      </c>
      <c r="C1317" s="110" t="s">
        <v>261</v>
      </c>
      <c r="D1317" s="110" t="s">
        <v>322</v>
      </c>
      <c r="E1317" s="104">
        <v>0.0</v>
      </c>
      <c r="F1317" s="104">
        <v>9.15</v>
      </c>
      <c r="G1317" s="110" t="s">
        <v>974</v>
      </c>
      <c r="H1317" s="112">
        <v>45895.0</v>
      </c>
      <c r="I1317" s="110" t="s">
        <v>2931</v>
      </c>
      <c r="J1317" s="104">
        <v>0.0</v>
      </c>
      <c r="K1317" s="110" t="s">
        <v>2932</v>
      </c>
      <c r="L1317" s="84"/>
    </row>
    <row r="1318">
      <c r="A1318" s="110" t="s">
        <v>2427</v>
      </c>
      <c r="B1318" s="110" t="s">
        <v>1861</v>
      </c>
      <c r="C1318" s="110" t="s">
        <v>261</v>
      </c>
      <c r="D1318" s="110" t="s">
        <v>322</v>
      </c>
      <c r="E1318" s="104">
        <v>0.0</v>
      </c>
      <c r="F1318" s="104">
        <v>8.6</v>
      </c>
      <c r="G1318" s="110" t="s">
        <v>2933</v>
      </c>
      <c r="H1318" s="112">
        <v>45895.0</v>
      </c>
      <c r="I1318" s="110" t="s">
        <v>2934</v>
      </c>
      <c r="J1318" s="104">
        <v>0.0</v>
      </c>
      <c r="K1318" s="110" t="s">
        <v>2932</v>
      </c>
      <c r="L1318" s="84"/>
    </row>
    <row r="1319">
      <c r="A1319" s="110" t="s">
        <v>2427</v>
      </c>
      <c r="B1319" s="110" t="s">
        <v>690</v>
      </c>
      <c r="C1319" s="110" t="s">
        <v>261</v>
      </c>
      <c r="D1319" s="110" t="s">
        <v>322</v>
      </c>
      <c r="E1319" s="104">
        <v>0.0</v>
      </c>
      <c r="F1319" s="104">
        <v>13.8</v>
      </c>
      <c r="G1319" s="110" t="s">
        <v>2935</v>
      </c>
      <c r="H1319" s="112">
        <v>44887.0</v>
      </c>
      <c r="I1319" s="110" t="s">
        <v>2427</v>
      </c>
      <c r="J1319" s="104">
        <v>0.0</v>
      </c>
      <c r="K1319" s="110" t="s">
        <v>2932</v>
      </c>
      <c r="L1319" s="84"/>
    </row>
    <row r="1320">
      <c r="A1320" s="110" t="s">
        <v>2427</v>
      </c>
      <c r="B1320" s="110" t="s">
        <v>690</v>
      </c>
      <c r="C1320" s="110" t="s">
        <v>261</v>
      </c>
      <c r="D1320" s="110" t="s">
        <v>322</v>
      </c>
      <c r="E1320" s="104">
        <v>0.0</v>
      </c>
      <c r="F1320" s="104">
        <v>14.85</v>
      </c>
      <c r="G1320" s="110" t="s">
        <v>334</v>
      </c>
      <c r="H1320" s="112">
        <v>45806.0</v>
      </c>
      <c r="I1320" s="110" t="s">
        <v>2427</v>
      </c>
      <c r="J1320" s="104">
        <v>0.0</v>
      </c>
      <c r="K1320" s="110" t="s">
        <v>2932</v>
      </c>
      <c r="L1320" s="84"/>
    </row>
    <row r="1321">
      <c r="A1321" s="110" t="s">
        <v>2427</v>
      </c>
      <c r="B1321" s="110" t="s">
        <v>690</v>
      </c>
      <c r="C1321" s="110" t="s">
        <v>261</v>
      </c>
      <c r="D1321" s="110" t="s">
        <v>322</v>
      </c>
      <c r="E1321" s="104">
        <v>0.0</v>
      </c>
      <c r="F1321" s="104">
        <v>14.0</v>
      </c>
      <c r="G1321" s="110" t="s">
        <v>2936</v>
      </c>
      <c r="H1321" s="112">
        <v>45806.0</v>
      </c>
      <c r="I1321" s="110" t="s">
        <v>2427</v>
      </c>
      <c r="J1321" s="104">
        <v>0.0</v>
      </c>
      <c r="K1321" s="110" t="s">
        <v>2932</v>
      </c>
      <c r="L1321" s="84"/>
    </row>
    <row r="1322">
      <c r="A1322" s="110" t="s">
        <v>2427</v>
      </c>
      <c r="B1322" s="110" t="s">
        <v>690</v>
      </c>
      <c r="C1322" s="110" t="s">
        <v>261</v>
      </c>
      <c r="D1322" s="110" t="s">
        <v>322</v>
      </c>
      <c r="E1322" s="104">
        <v>0.0</v>
      </c>
      <c r="F1322" s="104">
        <v>13.35</v>
      </c>
      <c r="G1322" s="110" t="s">
        <v>2937</v>
      </c>
      <c r="H1322" s="112">
        <v>45806.0</v>
      </c>
      <c r="I1322" s="110" t="s">
        <v>2427</v>
      </c>
      <c r="J1322" s="104">
        <v>0.0</v>
      </c>
      <c r="K1322" s="110" t="s">
        <v>2932</v>
      </c>
      <c r="L1322" s="84"/>
    </row>
    <row r="1323">
      <c r="A1323" s="110" t="s">
        <v>2429</v>
      </c>
      <c r="B1323" s="104">
        <v>0.0</v>
      </c>
      <c r="C1323" s="110" t="s">
        <v>337</v>
      </c>
      <c r="D1323" s="110" t="s">
        <v>217</v>
      </c>
      <c r="E1323" s="104">
        <v>0.0</v>
      </c>
      <c r="F1323" s="104">
        <v>15.0</v>
      </c>
      <c r="G1323" s="110" t="s">
        <v>238</v>
      </c>
      <c r="H1323" s="112">
        <v>45693.0</v>
      </c>
      <c r="I1323" s="104">
        <v>0.0</v>
      </c>
      <c r="J1323" s="104">
        <v>0.0</v>
      </c>
      <c r="K1323" s="110" t="s">
        <v>2938</v>
      </c>
      <c r="L1323" s="84"/>
    </row>
    <row r="1324">
      <c r="A1324" s="110" t="s">
        <v>2431</v>
      </c>
      <c r="B1324" s="110" t="s">
        <v>690</v>
      </c>
      <c r="C1324" s="110" t="s">
        <v>261</v>
      </c>
      <c r="D1324" s="110" t="s">
        <v>322</v>
      </c>
      <c r="E1324" s="104">
        <v>0.0</v>
      </c>
      <c r="F1324" s="104">
        <v>7.5</v>
      </c>
      <c r="G1324" s="110" t="s">
        <v>334</v>
      </c>
      <c r="H1324" s="112">
        <v>45953.0</v>
      </c>
      <c r="I1324" s="110" t="s">
        <v>2431</v>
      </c>
      <c r="J1324" s="104">
        <v>0.0</v>
      </c>
      <c r="K1324" s="110" t="s">
        <v>2939</v>
      </c>
      <c r="L1324" s="84"/>
    </row>
    <row r="1325">
      <c r="A1325" s="110" t="s">
        <v>2433</v>
      </c>
      <c r="B1325" s="110" t="s">
        <v>690</v>
      </c>
      <c r="C1325" s="110" t="s">
        <v>261</v>
      </c>
      <c r="D1325" s="110" t="s">
        <v>322</v>
      </c>
      <c r="E1325" s="104">
        <v>0.0</v>
      </c>
      <c r="F1325" s="104">
        <v>7.5</v>
      </c>
      <c r="G1325" s="110" t="s">
        <v>373</v>
      </c>
      <c r="H1325" s="112">
        <v>45895.0</v>
      </c>
      <c r="I1325" s="110" t="s">
        <v>2433</v>
      </c>
      <c r="J1325" s="104">
        <v>0.0</v>
      </c>
      <c r="K1325" s="110" t="s">
        <v>2940</v>
      </c>
      <c r="L1325" s="84"/>
    </row>
    <row r="1326">
      <c r="A1326" s="110" t="s">
        <v>2433</v>
      </c>
      <c r="B1326" s="110" t="s">
        <v>690</v>
      </c>
      <c r="C1326" s="110" t="s">
        <v>261</v>
      </c>
      <c r="D1326" s="110" t="s">
        <v>322</v>
      </c>
      <c r="E1326" s="104">
        <v>0.0</v>
      </c>
      <c r="F1326" s="104">
        <v>7.25</v>
      </c>
      <c r="G1326" s="110" t="s">
        <v>268</v>
      </c>
      <c r="H1326" s="112">
        <v>45953.0</v>
      </c>
      <c r="I1326" s="110" t="s">
        <v>2433</v>
      </c>
      <c r="J1326" s="104">
        <v>0.0</v>
      </c>
      <c r="K1326" s="110" t="s">
        <v>2940</v>
      </c>
      <c r="L1326" s="84"/>
    </row>
    <row r="1327">
      <c r="A1327" s="110" t="s">
        <v>2433</v>
      </c>
      <c r="B1327" s="110" t="s">
        <v>690</v>
      </c>
      <c r="C1327" s="110" t="s">
        <v>261</v>
      </c>
      <c r="D1327" s="110" t="s">
        <v>322</v>
      </c>
      <c r="E1327" s="104">
        <v>0.0</v>
      </c>
      <c r="F1327" s="104">
        <v>6.85</v>
      </c>
      <c r="G1327" s="110" t="s">
        <v>2941</v>
      </c>
      <c r="H1327" s="112">
        <v>45895.0</v>
      </c>
      <c r="I1327" s="110" t="s">
        <v>2433</v>
      </c>
      <c r="J1327" s="104">
        <v>0.0</v>
      </c>
      <c r="K1327" s="110" t="s">
        <v>2940</v>
      </c>
      <c r="L1327" s="84"/>
    </row>
    <row r="1328">
      <c r="A1328" s="110" t="s">
        <v>2433</v>
      </c>
      <c r="B1328" s="104">
        <v>0.0</v>
      </c>
      <c r="C1328" s="110" t="s">
        <v>2539</v>
      </c>
      <c r="D1328" s="110" t="s">
        <v>322</v>
      </c>
      <c r="E1328" s="104">
        <v>0.0</v>
      </c>
      <c r="F1328" s="104">
        <v>10.12</v>
      </c>
      <c r="G1328" s="104">
        <v>0.0</v>
      </c>
      <c r="H1328" s="112">
        <v>44795.0</v>
      </c>
      <c r="I1328" s="104">
        <v>0.0</v>
      </c>
      <c r="J1328" s="104">
        <v>0.0</v>
      </c>
      <c r="K1328" s="110" t="s">
        <v>2942</v>
      </c>
      <c r="L1328" s="84"/>
    </row>
    <row r="1329">
      <c r="A1329" s="110" t="s">
        <v>2435</v>
      </c>
      <c r="B1329" s="104">
        <v>0.0</v>
      </c>
      <c r="C1329" s="110" t="s">
        <v>261</v>
      </c>
      <c r="D1329" s="110" t="s">
        <v>322</v>
      </c>
      <c r="E1329" s="104">
        <v>0.0</v>
      </c>
      <c r="F1329" s="104">
        <v>5.56</v>
      </c>
      <c r="G1329" s="110" t="s">
        <v>2943</v>
      </c>
      <c r="H1329" s="112">
        <v>45807.0</v>
      </c>
      <c r="I1329" s="110" t="s">
        <v>2435</v>
      </c>
      <c r="J1329" s="104">
        <v>0.0</v>
      </c>
      <c r="K1329" s="110" t="s">
        <v>2944</v>
      </c>
      <c r="L1329" s="84"/>
    </row>
    <row r="1330">
      <c r="A1330" s="110" t="s">
        <v>2437</v>
      </c>
      <c r="B1330" s="104">
        <v>0.0</v>
      </c>
      <c r="C1330" s="110" t="s">
        <v>2539</v>
      </c>
      <c r="D1330" s="110" t="s">
        <v>322</v>
      </c>
      <c r="E1330" s="104">
        <v>0.0</v>
      </c>
      <c r="F1330" s="104">
        <v>5.19</v>
      </c>
      <c r="G1330" s="104">
        <v>0.0</v>
      </c>
      <c r="H1330" s="112">
        <v>44795.0</v>
      </c>
      <c r="I1330" s="104">
        <v>0.0</v>
      </c>
      <c r="J1330" s="104">
        <v>0.0</v>
      </c>
      <c r="K1330" s="110" t="s">
        <v>2945</v>
      </c>
      <c r="L1330" s="84"/>
    </row>
    <row r="1331">
      <c r="A1331" s="110" t="s">
        <v>2439</v>
      </c>
      <c r="B1331" s="104">
        <v>0.0</v>
      </c>
      <c r="C1331" s="110" t="s">
        <v>2946</v>
      </c>
      <c r="D1331" s="110" t="s">
        <v>544</v>
      </c>
      <c r="E1331" s="104">
        <v>0.0</v>
      </c>
      <c r="F1331" s="104">
        <v>43.1</v>
      </c>
      <c r="G1331" s="110" t="s">
        <v>2947</v>
      </c>
      <c r="H1331" s="112">
        <v>45848.0</v>
      </c>
      <c r="I1331" s="110" t="s">
        <v>2948</v>
      </c>
      <c r="J1331" s="104">
        <v>0.0</v>
      </c>
      <c r="K1331" s="110" t="s">
        <v>2949</v>
      </c>
      <c r="L1331" s="84"/>
    </row>
    <row r="1332">
      <c r="A1332" s="110" t="s">
        <v>2441</v>
      </c>
      <c r="B1332" s="104">
        <v>0.0</v>
      </c>
      <c r="C1332" s="110" t="s">
        <v>2946</v>
      </c>
      <c r="D1332" s="110" t="s">
        <v>544</v>
      </c>
      <c r="E1332" s="104">
        <v>0.0</v>
      </c>
      <c r="F1332" s="104">
        <v>43.54</v>
      </c>
      <c r="G1332" s="110" t="s">
        <v>625</v>
      </c>
      <c r="H1332" s="112">
        <v>45848.0</v>
      </c>
      <c r="I1332" s="110" t="s">
        <v>2948</v>
      </c>
      <c r="J1332" s="104">
        <v>0.0</v>
      </c>
      <c r="K1332" s="110" t="s">
        <v>2950</v>
      </c>
      <c r="L1332" s="84"/>
    </row>
    <row r="1333">
      <c r="A1333" s="110" t="s">
        <v>2445</v>
      </c>
      <c r="B1333" s="104">
        <v>0.0</v>
      </c>
      <c r="C1333" s="110" t="s">
        <v>2946</v>
      </c>
      <c r="D1333" s="110" t="s">
        <v>544</v>
      </c>
      <c r="E1333" s="104">
        <v>0.0</v>
      </c>
      <c r="F1333" s="104">
        <v>42.44</v>
      </c>
      <c r="G1333" s="110" t="s">
        <v>625</v>
      </c>
      <c r="H1333" s="112">
        <v>45848.0</v>
      </c>
      <c r="I1333" s="110" t="s">
        <v>2948</v>
      </c>
      <c r="J1333" s="104">
        <v>0.0</v>
      </c>
      <c r="K1333" s="110" t="s">
        <v>2951</v>
      </c>
      <c r="L1333" s="84"/>
    </row>
    <row r="1334">
      <c r="A1334" s="110" t="s">
        <v>2449</v>
      </c>
      <c r="B1334" s="104">
        <v>0.0</v>
      </c>
      <c r="C1334" s="110" t="s">
        <v>2946</v>
      </c>
      <c r="D1334" s="110" t="s">
        <v>544</v>
      </c>
      <c r="E1334" s="104">
        <v>0.0</v>
      </c>
      <c r="F1334" s="104">
        <v>41.78</v>
      </c>
      <c r="G1334" s="110" t="s">
        <v>2952</v>
      </c>
      <c r="H1334" s="112">
        <v>45848.0</v>
      </c>
      <c r="I1334" s="110" t="s">
        <v>2948</v>
      </c>
      <c r="J1334" s="104">
        <v>0.0</v>
      </c>
      <c r="K1334" s="110" t="s">
        <v>2953</v>
      </c>
      <c r="L1334" s="84"/>
    </row>
    <row r="1335">
      <c r="A1335" s="110" t="s">
        <v>2449</v>
      </c>
      <c r="B1335" s="104">
        <v>0.0</v>
      </c>
      <c r="C1335" s="110" t="s">
        <v>2946</v>
      </c>
      <c r="D1335" s="110" t="s">
        <v>544</v>
      </c>
      <c r="E1335" s="104">
        <v>0.0</v>
      </c>
      <c r="F1335" s="104">
        <v>40.68</v>
      </c>
      <c r="G1335" s="110" t="s">
        <v>2954</v>
      </c>
      <c r="H1335" s="112">
        <v>45848.0</v>
      </c>
      <c r="I1335" s="110" t="s">
        <v>2948</v>
      </c>
      <c r="J1335" s="104">
        <v>0.0</v>
      </c>
      <c r="K1335" s="110" t="s">
        <v>2953</v>
      </c>
      <c r="L1335" s="84"/>
    </row>
    <row r="1336">
      <c r="A1336" s="110" t="s">
        <v>2451</v>
      </c>
      <c r="B1336" s="110" t="s">
        <v>2955</v>
      </c>
      <c r="C1336" s="110" t="s">
        <v>2946</v>
      </c>
      <c r="D1336" s="104">
        <v>0.0</v>
      </c>
      <c r="E1336" s="104">
        <v>0.0</v>
      </c>
      <c r="F1336" s="104">
        <v>42.45</v>
      </c>
      <c r="G1336" s="110" t="s">
        <v>328</v>
      </c>
      <c r="H1336" s="112">
        <v>45627.0</v>
      </c>
      <c r="I1336" s="104">
        <v>0.0</v>
      </c>
      <c r="J1336" s="104">
        <v>0.0</v>
      </c>
      <c r="K1336" s="110" t="s">
        <v>2956</v>
      </c>
      <c r="L1336" s="84"/>
    </row>
    <row r="1337">
      <c r="A1337" s="110" t="s">
        <v>2454</v>
      </c>
      <c r="B1337" s="104">
        <v>0.0</v>
      </c>
      <c r="C1337" s="110" t="s">
        <v>2946</v>
      </c>
      <c r="D1337" s="110" t="s">
        <v>544</v>
      </c>
      <c r="E1337" s="104">
        <v>0.0</v>
      </c>
      <c r="F1337" s="104">
        <v>19.95</v>
      </c>
      <c r="G1337" s="110" t="s">
        <v>2952</v>
      </c>
      <c r="H1337" s="112">
        <v>45848.0</v>
      </c>
      <c r="I1337" s="110" t="s">
        <v>2957</v>
      </c>
      <c r="J1337" s="104">
        <v>0.0</v>
      </c>
      <c r="K1337" s="110" t="s">
        <v>2958</v>
      </c>
      <c r="L1337" s="84"/>
    </row>
    <row r="1338">
      <c r="A1338" s="110" t="s">
        <v>2455</v>
      </c>
      <c r="B1338" s="104">
        <v>0.0</v>
      </c>
      <c r="C1338" s="110" t="s">
        <v>2946</v>
      </c>
      <c r="D1338" s="110" t="s">
        <v>544</v>
      </c>
      <c r="E1338" s="104">
        <v>0.0</v>
      </c>
      <c r="F1338" s="104">
        <v>22.93</v>
      </c>
      <c r="G1338" s="110" t="s">
        <v>2959</v>
      </c>
      <c r="H1338" s="112">
        <v>45848.0</v>
      </c>
      <c r="I1338" s="110" t="s">
        <v>2957</v>
      </c>
      <c r="J1338" s="104">
        <v>0.0</v>
      </c>
      <c r="K1338" s="110" t="s">
        <v>2960</v>
      </c>
      <c r="L1338" s="84"/>
    </row>
    <row r="1339">
      <c r="A1339" s="110" t="s">
        <v>2456</v>
      </c>
      <c r="B1339" s="104">
        <v>0.0</v>
      </c>
      <c r="C1339" s="110" t="s">
        <v>2946</v>
      </c>
      <c r="D1339" s="110" t="s">
        <v>544</v>
      </c>
      <c r="E1339" s="104">
        <v>0.0</v>
      </c>
      <c r="F1339" s="104">
        <v>22.93</v>
      </c>
      <c r="G1339" s="110" t="s">
        <v>2961</v>
      </c>
      <c r="H1339" s="112">
        <v>45848.0</v>
      </c>
      <c r="I1339" s="110" t="s">
        <v>2957</v>
      </c>
      <c r="J1339" s="104">
        <v>0.0</v>
      </c>
      <c r="K1339" s="110" t="s">
        <v>2962</v>
      </c>
      <c r="L1339" s="84"/>
    </row>
    <row r="1340">
      <c r="A1340" s="110" t="s">
        <v>2457</v>
      </c>
      <c r="B1340" s="104">
        <v>0.0</v>
      </c>
      <c r="C1340" s="110" t="s">
        <v>2946</v>
      </c>
      <c r="D1340" s="110" t="s">
        <v>544</v>
      </c>
      <c r="E1340" s="104">
        <v>0.0</v>
      </c>
      <c r="F1340" s="104">
        <v>26.24</v>
      </c>
      <c r="G1340" s="110" t="s">
        <v>2963</v>
      </c>
      <c r="H1340" s="112">
        <v>45848.0</v>
      </c>
      <c r="I1340" s="110" t="s">
        <v>2957</v>
      </c>
      <c r="J1340" s="104">
        <v>0.0</v>
      </c>
      <c r="K1340" s="110" t="s">
        <v>2964</v>
      </c>
      <c r="L1340" s="84"/>
    </row>
    <row r="1341">
      <c r="A1341" s="110" t="s">
        <v>2459</v>
      </c>
      <c r="B1341" s="110" t="s">
        <v>2965</v>
      </c>
      <c r="C1341" s="110" t="s">
        <v>2946</v>
      </c>
      <c r="D1341" s="104">
        <v>0.0</v>
      </c>
      <c r="E1341" s="104">
        <v>0.0</v>
      </c>
      <c r="F1341" s="104">
        <v>22.94</v>
      </c>
      <c r="G1341" s="110" t="s">
        <v>328</v>
      </c>
      <c r="H1341" s="112">
        <v>45627.0</v>
      </c>
      <c r="I1341" s="104">
        <v>0.0</v>
      </c>
      <c r="J1341" s="104">
        <v>0.0</v>
      </c>
      <c r="K1341" s="110" t="s">
        <v>2966</v>
      </c>
      <c r="L1341" s="84"/>
    </row>
    <row r="1342">
      <c r="A1342" s="110" t="s">
        <v>2461</v>
      </c>
      <c r="B1342" s="104">
        <v>0.0</v>
      </c>
      <c r="C1342" s="110" t="s">
        <v>2946</v>
      </c>
      <c r="D1342" s="110" t="s">
        <v>544</v>
      </c>
      <c r="E1342" s="104">
        <v>0.0</v>
      </c>
      <c r="F1342" s="104">
        <v>22.82</v>
      </c>
      <c r="G1342" s="110" t="s">
        <v>2952</v>
      </c>
      <c r="H1342" s="112">
        <v>45848.0</v>
      </c>
      <c r="I1342" s="110" t="s">
        <v>2967</v>
      </c>
      <c r="J1342" s="104">
        <v>0.0</v>
      </c>
      <c r="K1342" s="110" t="s">
        <v>2968</v>
      </c>
      <c r="L1342" s="84"/>
    </row>
    <row r="1343">
      <c r="A1343" s="110" t="s">
        <v>2461</v>
      </c>
      <c r="B1343" s="104">
        <v>0.0</v>
      </c>
      <c r="C1343" s="110" t="s">
        <v>2946</v>
      </c>
      <c r="D1343" s="110" t="s">
        <v>544</v>
      </c>
      <c r="E1343" s="104">
        <v>0.0</v>
      </c>
      <c r="F1343" s="104">
        <v>21.72</v>
      </c>
      <c r="G1343" s="110" t="s">
        <v>2954</v>
      </c>
      <c r="H1343" s="112">
        <v>45848.0</v>
      </c>
      <c r="I1343" s="110" t="s">
        <v>2967</v>
      </c>
      <c r="J1343" s="104">
        <v>0.0</v>
      </c>
      <c r="K1343" s="110" t="s">
        <v>2968</v>
      </c>
      <c r="L1343" s="84"/>
    </row>
    <row r="1344">
      <c r="A1344" s="110" t="s">
        <v>2463</v>
      </c>
      <c r="B1344" s="104">
        <v>0.0</v>
      </c>
      <c r="C1344" s="110" t="s">
        <v>2946</v>
      </c>
      <c r="D1344" s="110" t="s">
        <v>544</v>
      </c>
      <c r="E1344" s="104">
        <v>0.0</v>
      </c>
      <c r="F1344" s="104">
        <v>25.79</v>
      </c>
      <c r="G1344" s="110" t="s">
        <v>625</v>
      </c>
      <c r="H1344" s="112">
        <v>45848.0</v>
      </c>
      <c r="I1344" s="110" t="s">
        <v>2967</v>
      </c>
      <c r="J1344" s="104">
        <v>0.0</v>
      </c>
      <c r="K1344" s="110" t="s">
        <v>2969</v>
      </c>
      <c r="L1344" s="84"/>
    </row>
    <row r="1345">
      <c r="A1345" s="110" t="s">
        <v>2465</v>
      </c>
      <c r="B1345" s="104">
        <v>0.0</v>
      </c>
      <c r="C1345" s="110" t="s">
        <v>2946</v>
      </c>
      <c r="D1345" s="110" t="s">
        <v>544</v>
      </c>
      <c r="E1345" s="104">
        <v>0.0</v>
      </c>
      <c r="F1345" s="104">
        <v>24.69</v>
      </c>
      <c r="G1345" s="110" t="s">
        <v>625</v>
      </c>
      <c r="H1345" s="112">
        <v>45848.0</v>
      </c>
      <c r="I1345" s="110" t="s">
        <v>2967</v>
      </c>
      <c r="J1345" s="104">
        <v>0.0</v>
      </c>
      <c r="K1345" s="110" t="s">
        <v>2970</v>
      </c>
      <c r="L1345" s="84"/>
    </row>
    <row r="1346">
      <c r="A1346" s="110" t="s">
        <v>2467</v>
      </c>
      <c r="B1346" s="104">
        <v>0.0</v>
      </c>
      <c r="C1346" s="110" t="s">
        <v>2946</v>
      </c>
      <c r="D1346" s="110" t="s">
        <v>544</v>
      </c>
      <c r="E1346" s="104">
        <v>0.0</v>
      </c>
      <c r="F1346" s="104">
        <v>31.42</v>
      </c>
      <c r="G1346" s="110" t="s">
        <v>2947</v>
      </c>
      <c r="H1346" s="112">
        <v>45848.0</v>
      </c>
      <c r="I1346" s="110" t="s">
        <v>2967</v>
      </c>
      <c r="J1346" s="104">
        <v>0.0</v>
      </c>
      <c r="K1346" s="110" t="s">
        <v>2971</v>
      </c>
      <c r="L1346" s="84"/>
    </row>
    <row r="1347">
      <c r="A1347" s="110" t="s">
        <v>2469</v>
      </c>
      <c r="B1347" s="110" t="s">
        <v>2972</v>
      </c>
      <c r="C1347" s="110" t="s">
        <v>2946</v>
      </c>
      <c r="D1347" s="104">
        <v>0.0</v>
      </c>
      <c r="E1347" s="104">
        <v>0.0</v>
      </c>
      <c r="F1347" s="104">
        <v>24.7</v>
      </c>
      <c r="G1347" s="110" t="s">
        <v>328</v>
      </c>
      <c r="H1347" s="112">
        <v>45627.0</v>
      </c>
      <c r="I1347" s="104">
        <v>0.0</v>
      </c>
      <c r="J1347" s="104">
        <v>0.0</v>
      </c>
      <c r="K1347" s="110" t="s">
        <v>2973</v>
      </c>
      <c r="L1347" s="84"/>
    </row>
    <row r="1348">
      <c r="A1348" s="110" t="s">
        <v>2471</v>
      </c>
      <c r="B1348" s="110" t="s">
        <v>2974</v>
      </c>
      <c r="C1348" s="110" t="s">
        <v>2946</v>
      </c>
      <c r="D1348" s="104">
        <v>0.0</v>
      </c>
      <c r="E1348" s="104">
        <v>0.0</v>
      </c>
      <c r="F1348" s="104">
        <v>25.03</v>
      </c>
      <c r="G1348" s="110" t="s">
        <v>328</v>
      </c>
      <c r="H1348" s="112">
        <v>45627.0</v>
      </c>
      <c r="I1348" s="104">
        <v>0.0</v>
      </c>
      <c r="J1348" s="104">
        <v>0.0</v>
      </c>
      <c r="K1348" s="110" t="s">
        <v>2975</v>
      </c>
      <c r="L1348" s="84"/>
    </row>
    <row r="1349">
      <c r="A1349" s="110" t="s">
        <v>2473</v>
      </c>
      <c r="B1349" s="104">
        <v>0.0</v>
      </c>
      <c r="C1349" s="110" t="s">
        <v>2976</v>
      </c>
      <c r="D1349" s="104">
        <v>0.0</v>
      </c>
      <c r="E1349" s="104">
        <v>0.0</v>
      </c>
      <c r="F1349" s="104">
        <v>5.44</v>
      </c>
      <c r="G1349" s="110" t="s">
        <v>2977</v>
      </c>
      <c r="H1349" s="112">
        <v>45817.0</v>
      </c>
      <c r="I1349" s="104">
        <v>0.0</v>
      </c>
      <c r="J1349" s="104">
        <v>0.0</v>
      </c>
      <c r="K1349" s="110" t="s">
        <v>2978</v>
      </c>
      <c r="L1349" s="84"/>
    </row>
    <row r="1350">
      <c r="A1350" s="110" t="s">
        <v>2475</v>
      </c>
      <c r="B1350" s="110" t="s">
        <v>2475</v>
      </c>
      <c r="C1350" s="110" t="s">
        <v>325</v>
      </c>
      <c r="D1350" s="110" t="s">
        <v>210</v>
      </c>
      <c r="E1350" s="104">
        <v>0.0</v>
      </c>
      <c r="F1350" s="104">
        <v>29.58</v>
      </c>
      <c r="G1350" s="110" t="s">
        <v>218</v>
      </c>
      <c r="H1350" s="112">
        <v>44887.0</v>
      </c>
      <c r="I1350" s="104">
        <v>0.0</v>
      </c>
      <c r="J1350" s="104">
        <v>0.0</v>
      </c>
      <c r="K1350" s="110" t="s">
        <v>2979</v>
      </c>
      <c r="L1350" s="84"/>
    </row>
    <row r="1351">
      <c r="A1351" s="110" t="s">
        <v>2477</v>
      </c>
      <c r="B1351" s="110" t="s">
        <v>2477</v>
      </c>
      <c r="C1351" s="110" t="s">
        <v>325</v>
      </c>
      <c r="D1351" s="110" t="s">
        <v>210</v>
      </c>
      <c r="E1351" s="104">
        <v>0.0</v>
      </c>
      <c r="F1351" s="104">
        <v>28.78</v>
      </c>
      <c r="G1351" s="110" t="s">
        <v>218</v>
      </c>
      <c r="H1351" s="112">
        <v>44887.0</v>
      </c>
      <c r="I1351" s="104">
        <v>0.0</v>
      </c>
      <c r="J1351" s="104">
        <v>0.0</v>
      </c>
      <c r="K1351" s="110" t="s">
        <v>2980</v>
      </c>
      <c r="L1351" s="84"/>
    </row>
    <row r="1352">
      <c r="A1352" s="110" t="s">
        <v>2480</v>
      </c>
      <c r="B1352" s="110" t="s">
        <v>2480</v>
      </c>
      <c r="C1352" s="110" t="s">
        <v>325</v>
      </c>
      <c r="D1352" s="110" t="s">
        <v>210</v>
      </c>
      <c r="E1352" s="104">
        <v>0.0</v>
      </c>
      <c r="F1352" s="104">
        <v>56.92</v>
      </c>
      <c r="G1352" s="110" t="s">
        <v>218</v>
      </c>
      <c r="H1352" s="112">
        <v>44887.0</v>
      </c>
      <c r="I1352" s="104">
        <v>0.0</v>
      </c>
      <c r="J1352" s="104">
        <v>0.0</v>
      </c>
      <c r="K1352" s="110" t="s">
        <v>2981</v>
      </c>
      <c r="L1352" s="84"/>
    </row>
    <row r="1353">
      <c r="A1353" s="110" t="s">
        <v>2482</v>
      </c>
      <c r="B1353" s="104">
        <v>0.0</v>
      </c>
      <c r="C1353" s="110" t="s">
        <v>317</v>
      </c>
      <c r="D1353" s="110" t="s">
        <v>217</v>
      </c>
      <c r="E1353" s="104">
        <v>0.0</v>
      </c>
      <c r="F1353" s="104">
        <v>450.0</v>
      </c>
      <c r="G1353" s="104">
        <v>0.0</v>
      </c>
      <c r="H1353" s="112">
        <v>45874.0</v>
      </c>
      <c r="I1353" s="104">
        <v>0.0</v>
      </c>
      <c r="J1353" s="104">
        <v>0.0</v>
      </c>
      <c r="K1353" s="110" t="s">
        <v>2982</v>
      </c>
      <c r="L1353" s="84"/>
    </row>
    <row r="1354">
      <c r="A1354" s="110" t="s">
        <v>2484</v>
      </c>
      <c r="B1354" s="110" t="s">
        <v>2983</v>
      </c>
      <c r="C1354" s="110" t="s">
        <v>720</v>
      </c>
      <c r="D1354" s="110" t="s">
        <v>210</v>
      </c>
      <c r="E1354" s="104">
        <v>0.0</v>
      </c>
      <c r="F1354" s="104">
        <v>55.0</v>
      </c>
      <c r="G1354" s="110" t="s">
        <v>721</v>
      </c>
      <c r="H1354" s="112">
        <v>45741.0</v>
      </c>
      <c r="I1354" s="104">
        <v>0.0</v>
      </c>
      <c r="J1354" s="104">
        <v>0.0</v>
      </c>
      <c r="K1354" s="110" t="s">
        <v>2984</v>
      </c>
      <c r="L1354" s="84"/>
    </row>
    <row r="1355">
      <c r="A1355" s="110" t="s">
        <v>2484</v>
      </c>
      <c r="B1355" s="110" t="s">
        <v>2983</v>
      </c>
      <c r="C1355" s="110" t="s">
        <v>720</v>
      </c>
      <c r="D1355" s="110" t="s">
        <v>210</v>
      </c>
      <c r="E1355" s="104">
        <v>0.0</v>
      </c>
      <c r="F1355" s="104">
        <v>52.0</v>
      </c>
      <c r="G1355" s="110" t="s">
        <v>724</v>
      </c>
      <c r="H1355" s="112">
        <v>45741.0</v>
      </c>
      <c r="I1355" s="104">
        <v>0.0</v>
      </c>
      <c r="J1355" s="104">
        <v>0.0</v>
      </c>
      <c r="K1355" s="110" t="s">
        <v>2984</v>
      </c>
      <c r="L1355" s="84"/>
    </row>
    <row r="1356">
      <c r="A1356" s="110" t="s">
        <v>2484</v>
      </c>
      <c r="B1356" s="110" t="s">
        <v>2983</v>
      </c>
      <c r="C1356" s="110" t="s">
        <v>720</v>
      </c>
      <c r="D1356" s="110" t="s">
        <v>210</v>
      </c>
      <c r="E1356" s="104">
        <v>0.0</v>
      </c>
      <c r="F1356" s="104">
        <v>48.0</v>
      </c>
      <c r="G1356" s="110" t="s">
        <v>726</v>
      </c>
      <c r="H1356" s="112">
        <v>45741.0</v>
      </c>
      <c r="I1356" s="104">
        <v>0.0</v>
      </c>
      <c r="J1356" s="104">
        <v>0.0</v>
      </c>
      <c r="K1356" s="110" t="s">
        <v>2984</v>
      </c>
      <c r="L1356" s="84"/>
    </row>
    <row r="1357">
      <c r="A1357" s="110" t="s">
        <v>2484</v>
      </c>
      <c r="B1357" s="110" t="s">
        <v>2983</v>
      </c>
      <c r="C1357" s="110" t="s">
        <v>720</v>
      </c>
      <c r="D1357" s="110" t="s">
        <v>210</v>
      </c>
      <c r="E1357" s="104">
        <v>0.0</v>
      </c>
      <c r="F1357" s="104">
        <v>46.0</v>
      </c>
      <c r="G1357" s="110" t="s">
        <v>728</v>
      </c>
      <c r="H1357" s="112">
        <v>45741.0</v>
      </c>
      <c r="I1357" s="104">
        <v>0.0</v>
      </c>
      <c r="J1357" s="104">
        <v>0.0</v>
      </c>
      <c r="K1357" s="110" t="s">
        <v>2984</v>
      </c>
      <c r="L1357" s="84"/>
    </row>
    <row r="1358">
      <c r="A1358" s="110" t="s">
        <v>2486</v>
      </c>
      <c r="B1358" s="104">
        <v>0.0</v>
      </c>
      <c r="C1358" s="110" t="s">
        <v>925</v>
      </c>
      <c r="D1358" s="110" t="s">
        <v>210</v>
      </c>
      <c r="E1358" s="104">
        <v>0.0</v>
      </c>
      <c r="F1358" s="104">
        <v>10.0</v>
      </c>
      <c r="G1358" s="110" t="s">
        <v>238</v>
      </c>
      <c r="H1358" s="112">
        <v>45980.0</v>
      </c>
      <c r="I1358" s="110" t="s">
        <v>2486</v>
      </c>
      <c r="J1358" s="104">
        <v>0.0</v>
      </c>
      <c r="K1358" s="110" t="s">
        <v>2985</v>
      </c>
      <c r="L1358" s="84"/>
    </row>
    <row r="1359">
      <c r="A1359" s="110" t="s">
        <v>2488</v>
      </c>
      <c r="B1359" s="104">
        <v>0.0</v>
      </c>
      <c r="C1359" s="110" t="s">
        <v>720</v>
      </c>
      <c r="D1359" s="110" t="s">
        <v>210</v>
      </c>
      <c r="E1359" s="104">
        <v>0.0</v>
      </c>
      <c r="F1359" s="104">
        <v>55.0</v>
      </c>
      <c r="G1359" s="110" t="s">
        <v>211</v>
      </c>
      <c r="H1359" s="112">
        <v>45979.0</v>
      </c>
      <c r="I1359" s="110" t="s">
        <v>2986</v>
      </c>
      <c r="J1359" s="104">
        <v>0.0</v>
      </c>
      <c r="K1359" s="110" t="s">
        <v>2987</v>
      </c>
      <c r="L1359" s="84"/>
    </row>
    <row r="1360">
      <c r="A1360" s="110" t="s">
        <v>2491</v>
      </c>
      <c r="B1360" s="104">
        <v>0.0</v>
      </c>
      <c r="C1360" s="110" t="s">
        <v>344</v>
      </c>
      <c r="D1360" s="110" t="s">
        <v>210</v>
      </c>
      <c r="E1360" s="104">
        <v>0.0</v>
      </c>
      <c r="F1360" s="104">
        <v>10.0</v>
      </c>
      <c r="G1360" s="110" t="s">
        <v>345</v>
      </c>
      <c r="H1360" s="112">
        <v>45854.0</v>
      </c>
      <c r="I1360" s="110" t="s">
        <v>2491</v>
      </c>
      <c r="J1360" s="104">
        <v>0.0</v>
      </c>
      <c r="K1360" s="110" t="s">
        <v>2988</v>
      </c>
      <c r="L1360" s="84"/>
    </row>
    <row r="1361">
      <c r="A1361" s="110" t="s">
        <v>2492</v>
      </c>
      <c r="B1361" s="104">
        <v>0.0</v>
      </c>
      <c r="C1361" s="110" t="s">
        <v>386</v>
      </c>
      <c r="D1361" s="110" t="s">
        <v>210</v>
      </c>
      <c r="E1361" s="104">
        <v>0.0</v>
      </c>
      <c r="F1361" s="104">
        <v>65.0</v>
      </c>
      <c r="G1361" s="110" t="s">
        <v>238</v>
      </c>
      <c r="H1361" s="112">
        <v>45679.0</v>
      </c>
      <c r="I1361" s="104">
        <v>0.0</v>
      </c>
      <c r="J1361" s="104">
        <v>0.0</v>
      </c>
      <c r="K1361" s="110" t="s">
        <v>2989</v>
      </c>
      <c r="L1361" s="84"/>
    </row>
    <row r="1362">
      <c r="A1362" s="110" t="s">
        <v>2493</v>
      </c>
      <c r="B1362" s="104">
        <v>0.0</v>
      </c>
      <c r="C1362" s="110" t="s">
        <v>386</v>
      </c>
      <c r="D1362" s="110" t="s">
        <v>210</v>
      </c>
      <c r="E1362" s="104">
        <v>0.0</v>
      </c>
      <c r="F1362" s="104">
        <v>72.0</v>
      </c>
      <c r="G1362" s="110" t="s">
        <v>238</v>
      </c>
      <c r="H1362" s="112">
        <v>45680.0</v>
      </c>
      <c r="I1362" s="104">
        <v>0.0</v>
      </c>
      <c r="J1362" s="104">
        <v>0.0</v>
      </c>
      <c r="K1362" s="110" t="s">
        <v>2990</v>
      </c>
      <c r="L1362" s="84"/>
    </row>
    <row r="1363">
      <c r="A1363" s="110" t="s">
        <v>2494</v>
      </c>
      <c r="B1363" s="104">
        <v>0.0</v>
      </c>
      <c r="C1363" s="110" t="s">
        <v>317</v>
      </c>
      <c r="D1363" s="110" t="s">
        <v>322</v>
      </c>
      <c r="E1363" s="104">
        <v>0.0</v>
      </c>
      <c r="F1363" s="104">
        <v>106.0</v>
      </c>
      <c r="G1363" s="104">
        <v>0.0</v>
      </c>
      <c r="H1363" s="112">
        <v>45874.0</v>
      </c>
      <c r="I1363" s="104">
        <v>0.0</v>
      </c>
      <c r="J1363" s="104">
        <v>0.0</v>
      </c>
      <c r="K1363" s="110" t="s">
        <v>2991</v>
      </c>
      <c r="L1363" s="84"/>
    </row>
    <row r="1364">
      <c r="A1364" s="110" t="s">
        <v>2496</v>
      </c>
      <c r="B1364" s="104">
        <v>0.0</v>
      </c>
      <c r="C1364" s="110" t="s">
        <v>209</v>
      </c>
      <c r="D1364" s="110" t="s">
        <v>217</v>
      </c>
      <c r="E1364" s="104">
        <v>0.0</v>
      </c>
      <c r="F1364" s="104">
        <v>0.0</v>
      </c>
      <c r="G1364" s="104">
        <v>0.0</v>
      </c>
      <c r="H1364" s="104" t="s">
        <v>232</v>
      </c>
      <c r="I1364" s="104">
        <v>0.0</v>
      </c>
      <c r="J1364" s="104">
        <v>0.0</v>
      </c>
      <c r="K1364" s="110" t="s">
        <v>2992</v>
      </c>
      <c r="L1364" s="84"/>
    </row>
    <row r="1365">
      <c r="A1365" s="110" t="s">
        <v>2498</v>
      </c>
      <c r="B1365" s="104">
        <v>0.0</v>
      </c>
      <c r="C1365" s="110" t="s">
        <v>317</v>
      </c>
      <c r="D1365" s="110" t="s">
        <v>217</v>
      </c>
      <c r="E1365" s="104">
        <v>0.0</v>
      </c>
      <c r="F1365" s="104">
        <v>650.0</v>
      </c>
      <c r="G1365" s="104">
        <v>0.0</v>
      </c>
      <c r="H1365" s="112">
        <v>45874.0</v>
      </c>
      <c r="I1365" s="104">
        <v>0.0</v>
      </c>
      <c r="J1365" s="104">
        <v>0.0</v>
      </c>
      <c r="K1365" s="110" t="s">
        <v>2993</v>
      </c>
      <c r="L1365" s="84"/>
    </row>
    <row r="1366">
      <c r="A1366" s="110" t="s">
        <v>2498</v>
      </c>
      <c r="B1366" s="104">
        <v>0.0</v>
      </c>
      <c r="C1366" s="110" t="s">
        <v>993</v>
      </c>
      <c r="D1366" s="110" t="s">
        <v>217</v>
      </c>
      <c r="E1366" s="104">
        <v>0.0</v>
      </c>
      <c r="F1366" s="104">
        <v>690.0</v>
      </c>
      <c r="G1366" s="110" t="s">
        <v>994</v>
      </c>
      <c r="H1366" s="112">
        <v>45707.0</v>
      </c>
      <c r="I1366" s="104">
        <v>0.0</v>
      </c>
      <c r="J1366" s="104">
        <v>0.0</v>
      </c>
      <c r="K1366" s="110" t="s">
        <v>2994</v>
      </c>
      <c r="L1366" s="84"/>
    </row>
    <row r="1367">
      <c r="A1367" s="110" t="s">
        <v>2501</v>
      </c>
      <c r="B1367" s="104">
        <v>0.0</v>
      </c>
      <c r="C1367" s="110" t="s">
        <v>209</v>
      </c>
      <c r="D1367" s="110" t="s">
        <v>217</v>
      </c>
      <c r="E1367" s="104">
        <v>0.0</v>
      </c>
      <c r="F1367" s="104">
        <v>0.0</v>
      </c>
      <c r="G1367" s="104">
        <v>0.0</v>
      </c>
      <c r="H1367" s="104" t="s">
        <v>232</v>
      </c>
      <c r="I1367" s="104">
        <v>0.0</v>
      </c>
      <c r="J1367" s="104">
        <v>0.0</v>
      </c>
      <c r="K1367" s="110" t="s">
        <v>2995</v>
      </c>
      <c r="L1367" s="84"/>
    </row>
    <row r="1368">
      <c r="A1368" s="110" t="s">
        <v>2503</v>
      </c>
      <c r="B1368" s="104">
        <v>0.0</v>
      </c>
      <c r="C1368" s="110" t="s">
        <v>543</v>
      </c>
      <c r="D1368" s="110" t="s">
        <v>544</v>
      </c>
      <c r="E1368" s="104">
        <v>0.0</v>
      </c>
      <c r="F1368" s="104">
        <v>97.56</v>
      </c>
      <c r="G1368" s="110" t="s">
        <v>2147</v>
      </c>
      <c r="H1368" s="112">
        <v>45985.0</v>
      </c>
      <c r="I1368" s="110" t="s">
        <v>2503</v>
      </c>
      <c r="J1368" s="104">
        <v>0.0</v>
      </c>
      <c r="K1368" s="110" t="s">
        <v>2996</v>
      </c>
      <c r="L1368" s="84"/>
    </row>
    <row r="1369">
      <c r="A1369" s="110" t="s">
        <v>2503</v>
      </c>
      <c r="B1369" s="104">
        <v>0.0</v>
      </c>
      <c r="C1369" s="110" t="s">
        <v>543</v>
      </c>
      <c r="D1369" s="110" t="s">
        <v>544</v>
      </c>
      <c r="E1369" s="104">
        <v>0.0</v>
      </c>
      <c r="F1369" s="104">
        <v>60.53</v>
      </c>
      <c r="G1369" s="110" t="s">
        <v>2150</v>
      </c>
      <c r="H1369" s="112">
        <v>45985.0</v>
      </c>
      <c r="I1369" s="110" t="s">
        <v>2503</v>
      </c>
      <c r="J1369" s="104">
        <v>0.0</v>
      </c>
      <c r="K1369" s="110" t="s">
        <v>2996</v>
      </c>
      <c r="L1369" s="84"/>
    </row>
    <row r="1370">
      <c r="A1370" s="110" t="s">
        <v>2506</v>
      </c>
      <c r="B1370" s="104">
        <v>0.0</v>
      </c>
      <c r="C1370" s="110" t="s">
        <v>520</v>
      </c>
      <c r="D1370" s="110" t="s">
        <v>210</v>
      </c>
      <c r="E1370" s="104">
        <v>0.0</v>
      </c>
      <c r="F1370" s="104">
        <v>75.0</v>
      </c>
      <c r="G1370" s="110" t="s">
        <v>238</v>
      </c>
      <c r="H1370" s="112">
        <v>45826.0</v>
      </c>
      <c r="I1370" s="110" t="s">
        <v>2997</v>
      </c>
      <c r="J1370" s="104">
        <v>0.0</v>
      </c>
      <c r="K1370" s="110" t="s">
        <v>2998</v>
      </c>
      <c r="L1370" s="84"/>
    </row>
    <row r="1371">
      <c r="A1371" s="110" t="s">
        <v>2508</v>
      </c>
      <c r="B1371" s="104">
        <v>0.0</v>
      </c>
      <c r="C1371" s="110" t="s">
        <v>520</v>
      </c>
      <c r="D1371" s="110" t="s">
        <v>210</v>
      </c>
      <c r="E1371" s="104">
        <v>0.0</v>
      </c>
      <c r="F1371" s="104">
        <v>400.0</v>
      </c>
      <c r="G1371" s="110" t="s">
        <v>2999</v>
      </c>
      <c r="H1371" s="112">
        <v>45826.0</v>
      </c>
      <c r="I1371" s="110" t="s">
        <v>3000</v>
      </c>
      <c r="J1371" s="104">
        <v>0.0</v>
      </c>
      <c r="K1371" s="110" t="s">
        <v>3001</v>
      </c>
      <c r="L1371" s="84"/>
    </row>
    <row r="1372">
      <c r="A1372" s="110" t="s">
        <v>2510</v>
      </c>
      <c r="B1372" s="110" t="s">
        <v>2510</v>
      </c>
      <c r="C1372" s="110" t="s">
        <v>1839</v>
      </c>
      <c r="D1372" s="110" t="s">
        <v>210</v>
      </c>
      <c r="E1372" s="104">
        <v>0.0</v>
      </c>
      <c r="F1372" s="104">
        <v>0.0</v>
      </c>
      <c r="G1372" s="104">
        <v>0.0</v>
      </c>
      <c r="H1372" s="104" t="s">
        <v>232</v>
      </c>
      <c r="I1372" s="104">
        <v>0.0</v>
      </c>
      <c r="J1372" s="104">
        <v>0.0</v>
      </c>
      <c r="K1372" s="110" t="s">
        <v>3002</v>
      </c>
      <c r="L1372" s="84"/>
    </row>
    <row r="1373">
      <c r="A1373" s="110" t="s">
        <v>2513</v>
      </c>
      <c r="B1373" s="104">
        <v>0.0</v>
      </c>
      <c r="C1373" s="110" t="s">
        <v>317</v>
      </c>
      <c r="D1373" s="110" t="s">
        <v>217</v>
      </c>
      <c r="E1373" s="104">
        <v>0.0</v>
      </c>
      <c r="F1373" s="104">
        <v>11.0</v>
      </c>
      <c r="G1373" s="104">
        <v>0.0</v>
      </c>
      <c r="H1373" s="112">
        <v>45874.0</v>
      </c>
      <c r="I1373" s="104">
        <v>0.0</v>
      </c>
      <c r="J1373" s="104">
        <v>0.0</v>
      </c>
      <c r="K1373" s="110" t="s">
        <v>3003</v>
      </c>
      <c r="L1373" s="84"/>
    </row>
    <row r="1374">
      <c r="A1374" s="110" t="s">
        <v>2515</v>
      </c>
      <c r="B1374" s="104">
        <v>0.0</v>
      </c>
      <c r="C1374" s="110" t="s">
        <v>1339</v>
      </c>
      <c r="D1374" s="110" t="s">
        <v>210</v>
      </c>
      <c r="E1374" s="104">
        <v>0.0</v>
      </c>
      <c r="F1374" s="104">
        <v>1.65</v>
      </c>
      <c r="G1374" s="110" t="s">
        <v>3004</v>
      </c>
      <c r="H1374" s="112">
        <v>45911.0</v>
      </c>
      <c r="I1374" s="110" t="s">
        <v>3005</v>
      </c>
      <c r="J1374" s="104">
        <v>0.0</v>
      </c>
      <c r="K1374" s="110" t="s">
        <v>3006</v>
      </c>
      <c r="L1374" s="84"/>
    </row>
    <row r="1375">
      <c r="A1375" s="110" t="s">
        <v>2519</v>
      </c>
      <c r="B1375" s="104">
        <v>0.0</v>
      </c>
      <c r="C1375" s="110" t="s">
        <v>2442</v>
      </c>
      <c r="D1375" s="110" t="s">
        <v>201</v>
      </c>
      <c r="E1375" s="104">
        <v>0.0</v>
      </c>
      <c r="F1375" s="104">
        <v>23.36</v>
      </c>
      <c r="G1375" s="110" t="s">
        <v>3007</v>
      </c>
      <c r="H1375" s="112">
        <v>45986.0</v>
      </c>
      <c r="I1375" s="110" t="s">
        <v>2519</v>
      </c>
      <c r="J1375" s="104">
        <v>0.0</v>
      </c>
      <c r="K1375" s="110" t="s">
        <v>3008</v>
      </c>
      <c r="L1375" s="84"/>
    </row>
    <row r="1376">
      <c r="A1376" s="110" t="s">
        <v>2519</v>
      </c>
      <c r="B1376" s="104">
        <v>0.0</v>
      </c>
      <c r="C1376" s="110" t="s">
        <v>2442</v>
      </c>
      <c r="D1376" s="110" t="s">
        <v>201</v>
      </c>
      <c r="E1376" s="104">
        <v>0.0</v>
      </c>
      <c r="F1376" s="104">
        <v>30.03</v>
      </c>
      <c r="G1376" s="110" t="s">
        <v>3009</v>
      </c>
      <c r="H1376" s="112">
        <v>45986.0</v>
      </c>
      <c r="I1376" s="110" t="s">
        <v>2519</v>
      </c>
      <c r="J1376" s="104">
        <v>0.0</v>
      </c>
      <c r="K1376" s="110" t="s">
        <v>3008</v>
      </c>
      <c r="L1376" s="84"/>
    </row>
    <row r="1377">
      <c r="A1377" s="110" t="s">
        <v>2519</v>
      </c>
      <c r="B1377" s="104">
        <v>0.0</v>
      </c>
      <c r="C1377" s="110" t="s">
        <v>2442</v>
      </c>
      <c r="D1377" s="110" t="s">
        <v>201</v>
      </c>
      <c r="E1377" s="104">
        <v>0.0</v>
      </c>
      <c r="F1377" s="104">
        <v>23.36</v>
      </c>
      <c r="G1377" s="110" t="s">
        <v>3010</v>
      </c>
      <c r="H1377" s="112">
        <v>45986.0</v>
      </c>
      <c r="I1377" s="110" t="s">
        <v>2519</v>
      </c>
      <c r="J1377" s="104">
        <v>0.0</v>
      </c>
      <c r="K1377" s="110" t="s">
        <v>3008</v>
      </c>
      <c r="L1377" s="84"/>
    </row>
    <row r="1378">
      <c r="A1378" s="110" t="s">
        <v>2520</v>
      </c>
      <c r="B1378" s="104">
        <v>0.0</v>
      </c>
      <c r="C1378" s="110" t="s">
        <v>317</v>
      </c>
      <c r="D1378" s="110" t="s">
        <v>210</v>
      </c>
      <c r="E1378" s="104">
        <v>0.0</v>
      </c>
      <c r="F1378" s="104">
        <v>85.0</v>
      </c>
      <c r="G1378" s="104">
        <v>0.0</v>
      </c>
      <c r="H1378" s="112">
        <v>45874.0</v>
      </c>
      <c r="I1378" s="104">
        <v>0.0</v>
      </c>
      <c r="J1378" s="104">
        <v>0.0</v>
      </c>
      <c r="K1378" s="110" t="s">
        <v>3011</v>
      </c>
      <c r="L1378" s="84"/>
    </row>
    <row r="1379">
      <c r="A1379" s="110" t="s">
        <v>2522</v>
      </c>
      <c r="B1379" s="104">
        <v>0.0</v>
      </c>
      <c r="C1379" s="110" t="s">
        <v>209</v>
      </c>
      <c r="D1379" s="110" t="s">
        <v>217</v>
      </c>
      <c r="E1379" s="104">
        <v>0.0</v>
      </c>
      <c r="F1379" s="104">
        <v>0.0</v>
      </c>
      <c r="G1379" s="104">
        <v>0.0</v>
      </c>
      <c r="H1379" s="104" t="s">
        <v>232</v>
      </c>
      <c r="I1379" s="104">
        <v>0.0</v>
      </c>
      <c r="J1379" s="104">
        <v>0.0</v>
      </c>
      <c r="K1379" s="110" t="s">
        <v>3012</v>
      </c>
      <c r="L1379" s="84"/>
    </row>
    <row r="1380">
      <c r="A1380" s="110" t="s">
        <v>2524</v>
      </c>
      <c r="B1380" s="104">
        <v>0.0</v>
      </c>
      <c r="C1380" s="110" t="s">
        <v>242</v>
      </c>
      <c r="D1380" s="110" t="s">
        <v>612</v>
      </c>
      <c r="E1380" s="104">
        <v>0.0</v>
      </c>
      <c r="F1380" s="104">
        <v>3.35</v>
      </c>
      <c r="G1380" s="110" t="s">
        <v>3013</v>
      </c>
      <c r="H1380" s="112">
        <v>45831.0</v>
      </c>
      <c r="I1380" s="110" t="s">
        <v>3014</v>
      </c>
      <c r="J1380" s="104">
        <v>0.0</v>
      </c>
      <c r="K1380" s="110" t="s">
        <v>3015</v>
      </c>
      <c r="L1380" s="84"/>
    </row>
    <row r="1381">
      <c r="A1381" s="110" t="s">
        <v>2527</v>
      </c>
      <c r="B1381" s="110" t="s">
        <v>2527</v>
      </c>
      <c r="C1381" s="110" t="s">
        <v>3016</v>
      </c>
      <c r="D1381" s="110" t="s">
        <v>217</v>
      </c>
      <c r="E1381" s="104">
        <v>0.0</v>
      </c>
      <c r="F1381" s="104">
        <v>0.0</v>
      </c>
      <c r="G1381" s="104">
        <v>0.0</v>
      </c>
      <c r="H1381" s="104" t="s">
        <v>232</v>
      </c>
      <c r="I1381" s="104">
        <v>0.0</v>
      </c>
      <c r="J1381" s="104">
        <v>0.0</v>
      </c>
      <c r="K1381" s="110" t="s">
        <v>3017</v>
      </c>
      <c r="L1381" s="84"/>
    </row>
    <row r="1382">
      <c r="A1382" s="110" t="s">
        <v>2529</v>
      </c>
      <c r="B1382" s="104">
        <v>0.0</v>
      </c>
      <c r="C1382" s="110" t="s">
        <v>209</v>
      </c>
      <c r="D1382" s="110" t="s">
        <v>217</v>
      </c>
      <c r="E1382" s="104">
        <v>0.0</v>
      </c>
      <c r="F1382" s="104">
        <v>56.5</v>
      </c>
      <c r="G1382" s="110" t="s">
        <v>238</v>
      </c>
      <c r="H1382" s="112">
        <v>45916.0</v>
      </c>
      <c r="I1382" s="110" t="s">
        <v>2529</v>
      </c>
      <c r="J1382" s="104">
        <v>0.0</v>
      </c>
      <c r="K1382" s="110" t="s">
        <v>3018</v>
      </c>
      <c r="L1382" s="84"/>
    </row>
    <row r="1383">
      <c r="A1383" s="110" t="s">
        <v>2531</v>
      </c>
      <c r="B1383" s="104">
        <v>0.0</v>
      </c>
      <c r="C1383" s="110" t="s">
        <v>337</v>
      </c>
      <c r="D1383" s="110" t="s">
        <v>217</v>
      </c>
      <c r="E1383" s="104">
        <v>0.0</v>
      </c>
      <c r="F1383" s="104">
        <v>220.0</v>
      </c>
      <c r="G1383" s="110" t="s">
        <v>238</v>
      </c>
      <c r="H1383" s="112">
        <v>45819.0</v>
      </c>
      <c r="I1383" s="110" t="s">
        <v>3019</v>
      </c>
      <c r="J1383" s="104">
        <v>0.0</v>
      </c>
      <c r="K1383" s="110" t="s">
        <v>3020</v>
      </c>
      <c r="L1383" s="84"/>
    </row>
    <row r="1384">
      <c r="A1384" s="110" t="s">
        <v>2534</v>
      </c>
      <c r="B1384" s="104">
        <v>0.0</v>
      </c>
      <c r="C1384" s="110" t="s">
        <v>331</v>
      </c>
      <c r="D1384" s="110" t="s">
        <v>217</v>
      </c>
      <c r="E1384" s="104">
        <v>0.0</v>
      </c>
      <c r="F1384" s="104">
        <v>35.0</v>
      </c>
      <c r="G1384" s="110" t="s">
        <v>238</v>
      </c>
      <c r="H1384" s="112">
        <v>45874.0</v>
      </c>
      <c r="I1384" s="110" t="s">
        <v>2534</v>
      </c>
      <c r="J1384" s="104">
        <v>0.0</v>
      </c>
      <c r="K1384" s="110" t="s">
        <v>3021</v>
      </c>
      <c r="L1384" s="84"/>
    </row>
    <row r="1385">
      <c r="A1385" s="110" t="s">
        <v>2534</v>
      </c>
      <c r="B1385" s="104">
        <v>0.0</v>
      </c>
      <c r="C1385" s="110" t="s">
        <v>331</v>
      </c>
      <c r="D1385" s="110" t="s">
        <v>217</v>
      </c>
      <c r="E1385" s="104">
        <v>0.0</v>
      </c>
      <c r="F1385" s="104">
        <v>33.0</v>
      </c>
      <c r="G1385" s="110" t="s">
        <v>334</v>
      </c>
      <c r="H1385" s="112">
        <v>45723.0</v>
      </c>
      <c r="I1385" s="104">
        <v>0.0</v>
      </c>
      <c r="J1385" s="104">
        <v>0.0</v>
      </c>
      <c r="K1385" s="110" t="s">
        <v>3021</v>
      </c>
      <c r="L1385" s="84"/>
    </row>
    <row r="1386">
      <c r="A1386" s="110" t="s">
        <v>2538</v>
      </c>
      <c r="B1386" s="104">
        <v>0.0</v>
      </c>
      <c r="C1386" s="110" t="s">
        <v>331</v>
      </c>
      <c r="D1386" s="110" t="s">
        <v>322</v>
      </c>
      <c r="E1386" s="104">
        <v>0.0</v>
      </c>
      <c r="F1386" s="104">
        <v>62.0</v>
      </c>
      <c r="G1386" s="110" t="s">
        <v>238</v>
      </c>
      <c r="H1386" s="112">
        <v>45846.0</v>
      </c>
      <c r="I1386" s="110" t="s">
        <v>3022</v>
      </c>
      <c r="J1386" s="104">
        <v>0.0</v>
      </c>
      <c r="K1386" s="110" t="s">
        <v>3023</v>
      </c>
      <c r="L1386" s="84"/>
    </row>
    <row r="1387">
      <c r="A1387" s="110" t="s">
        <v>77</v>
      </c>
      <c r="B1387" s="104">
        <v>0.0</v>
      </c>
      <c r="C1387" s="110" t="s">
        <v>344</v>
      </c>
      <c r="D1387" s="110" t="s">
        <v>217</v>
      </c>
      <c r="E1387" s="104">
        <v>0.0</v>
      </c>
      <c r="F1387" s="104">
        <v>3.4</v>
      </c>
      <c r="G1387" s="110" t="s">
        <v>3024</v>
      </c>
      <c r="H1387" s="112">
        <v>45849.0</v>
      </c>
      <c r="I1387" s="110" t="s">
        <v>77</v>
      </c>
      <c r="J1387" s="104">
        <v>0.0</v>
      </c>
      <c r="K1387" s="110" t="s">
        <v>3025</v>
      </c>
      <c r="L1387" s="84"/>
    </row>
    <row r="1388">
      <c r="A1388" s="110" t="s">
        <v>2543</v>
      </c>
      <c r="B1388" s="104">
        <v>0.0</v>
      </c>
      <c r="C1388" s="110" t="s">
        <v>365</v>
      </c>
      <c r="D1388" s="110" t="s">
        <v>217</v>
      </c>
      <c r="E1388" s="104">
        <v>0.0</v>
      </c>
      <c r="F1388" s="104">
        <v>0.0</v>
      </c>
      <c r="G1388" s="104">
        <v>0.0</v>
      </c>
      <c r="H1388" s="104" t="s">
        <v>232</v>
      </c>
      <c r="I1388" s="104">
        <v>0.0</v>
      </c>
      <c r="J1388" s="104">
        <v>0.0</v>
      </c>
      <c r="K1388" s="110" t="s">
        <v>3026</v>
      </c>
      <c r="L1388" s="84"/>
    </row>
    <row r="1389">
      <c r="A1389" s="110" t="s">
        <v>2545</v>
      </c>
      <c r="B1389" s="104">
        <v>0.0</v>
      </c>
      <c r="C1389" s="110" t="s">
        <v>657</v>
      </c>
      <c r="D1389" s="110" t="s">
        <v>217</v>
      </c>
      <c r="E1389" s="104">
        <v>0.0</v>
      </c>
      <c r="F1389" s="104">
        <v>0.0</v>
      </c>
      <c r="G1389" s="110" t="s">
        <v>1820</v>
      </c>
      <c r="H1389" s="112">
        <v>45825.0</v>
      </c>
      <c r="I1389" s="104">
        <v>0.0</v>
      </c>
      <c r="J1389" s="104">
        <v>0.0</v>
      </c>
      <c r="K1389" s="110" t="s">
        <v>3027</v>
      </c>
      <c r="L1389" s="84"/>
    </row>
    <row r="1390">
      <c r="A1390" s="110" t="s">
        <v>2547</v>
      </c>
      <c r="B1390" s="104">
        <v>0.0</v>
      </c>
      <c r="C1390" s="110" t="s">
        <v>386</v>
      </c>
      <c r="D1390" s="110" t="s">
        <v>217</v>
      </c>
      <c r="E1390" s="104">
        <v>0.0</v>
      </c>
      <c r="F1390" s="104">
        <v>18.7</v>
      </c>
      <c r="G1390" s="110" t="s">
        <v>238</v>
      </c>
      <c r="H1390" s="112">
        <v>45534.0</v>
      </c>
      <c r="I1390" s="104">
        <v>0.0</v>
      </c>
      <c r="J1390" s="104">
        <v>0.0</v>
      </c>
      <c r="K1390" s="110" t="s">
        <v>3028</v>
      </c>
      <c r="L1390" s="84"/>
    </row>
    <row r="1391">
      <c r="A1391" s="110" t="s">
        <v>2549</v>
      </c>
      <c r="B1391" s="104">
        <v>0.0</v>
      </c>
      <c r="C1391" s="110" t="s">
        <v>209</v>
      </c>
      <c r="D1391" s="110" t="s">
        <v>217</v>
      </c>
      <c r="E1391" s="104">
        <v>0.0</v>
      </c>
      <c r="F1391" s="104">
        <v>0.0</v>
      </c>
      <c r="G1391" s="104">
        <v>0.0</v>
      </c>
      <c r="H1391" s="104" t="s">
        <v>232</v>
      </c>
      <c r="I1391" s="104">
        <v>0.0</v>
      </c>
      <c r="J1391" s="104">
        <v>0.0</v>
      </c>
      <c r="K1391" s="110" t="s">
        <v>3029</v>
      </c>
      <c r="L1391" s="84"/>
    </row>
    <row r="1392">
      <c r="A1392" s="110" t="s">
        <v>2549</v>
      </c>
      <c r="B1392" s="104">
        <v>0.0</v>
      </c>
      <c r="C1392" s="110" t="s">
        <v>209</v>
      </c>
      <c r="D1392" s="110" t="s">
        <v>217</v>
      </c>
      <c r="E1392" s="104">
        <v>0.0</v>
      </c>
      <c r="F1392" s="104">
        <v>16.5</v>
      </c>
      <c r="G1392" s="110" t="s">
        <v>238</v>
      </c>
      <c r="H1392" s="112">
        <v>45953.0</v>
      </c>
      <c r="I1392" s="110" t="s">
        <v>2549</v>
      </c>
      <c r="J1392" s="104">
        <v>0.0</v>
      </c>
      <c r="K1392" s="110" t="s">
        <v>3029</v>
      </c>
      <c r="L1392" s="84"/>
    </row>
    <row r="1393">
      <c r="A1393" s="110" t="s">
        <v>2552</v>
      </c>
      <c r="B1393" s="104">
        <v>0.0</v>
      </c>
      <c r="C1393" s="110" t="s">
        <v>337</v>
      </c>
      <c r="D1393" s="110" t="s">
        <v>217</v>
      </c>
      <c r="E1393" s="104">
        <v>0.0</v>
      </c>
      <c r="F1393" s="104">
        <v>34.0</v>
      </c>
      <c r="G1393" s="110" t="s">
        <v>238</v>
      </c>
      <c r="H1393" s="112">
        <v>45674.0</v>
      </c>
      <c r="I1393" s="104">
        <v>0.0</v>
      </c>
      <c r="J1393" s="104">
        <v>0.0</v>
      </c>
      <c r="K1393" s="110" t="s">
        <v>3030</v>
      </c>
      <c r="L1393" s="84"/>
    </row>
    <row r="1394">
      <c r="A1394" s="110" t="s">
        <v>2556</v>
      </c>
      <c r="B1394" s="104">
        <v>0.0</v>
      </c>
      <c r="C1394" s="110" t="s">
        <v>209</v>
      </c>
      <c r="D1394" s="110" t="s">
        <v>217</v>
      </c>
      <c r="E1394" s="104">
        <v>0.0</v>
      </c>
      <c r="F1394" s="104">
        <v>0.0</v>
      </c>
      <c r="G1394" s="104">
        <v>0.0</v>
      </c>
      <c r="H1394" s="104" t="s">
        <v>232</v>
      </c>
      <c r="I1394" s="104">
        <v>0.0</v>
      </c>
      <c r="J1394" s="104">
        <v>0.0</v>
      </c>
      <c r="K1394" s="110" t="s">
        <v>3031</v>
      </c>
      <c r="L1394" s="84"/>
    </row>
    <row r="1395">
      <c r="A1395" s="110" t="s">
        <v>2559</v>
      </c>
      <c r="B1395" s="104">
        <v>0.0</v>
      </c>
      <c r="C1395" s="110" t="s">
        <v>261</v>
      </c>
      <c r="D1395" s="110" t="s">
        <v>217</v>
      </c>
      <c r="E1395" s="104">
        <v>0.0</v>
      </c>
      <c r="F1395" s="104">
        <v>0.0</v>
      </c>
      <c r="G1395" s="104">
        <v>0.0</v>
      </c>
      <c r="H1395" s="104" t="s">
        <v>232</v>
      </c>
      <c r="I1395" s="104">
        <v>0.0</v>
      </c>
      <c r="J1395" s="104">
        <v>0.0</v>
      </c>
      <c r="K1395" s="110" t="s">
        <v>3032</v>
      </c>
      <c r="L1395" s="84"/>
    </row>
    <row r="1396">
      <c r="A1396" s="110" t="s">
        <v>2561</v>
      </c>
      <c r="B1396" s="104">
        <v>0.0</v>
      </c>
      <c r="C1396" s="110" t="s">
        <v>657</v>
      </c>
      <c r="D1396" s="110" t="s">
        <v>217</v>
      </c>
      <c r="E1396" s="104">
        <v>0.0</v>
      </c>
      <c r="F1396" s="104">
        <v>0.0</v>
      </c>
      <c r="G1396" s="110" t="s">
        <v>1820</v>
      </c>
      <c r="H1396" s="112">
        <v>45825.0</v>
      </c>
      <c r="I1396" s="104">
        <v>0.0</v>
      </c>
      <c r="J1396" s="104">
        <v>0.0</v>
      </c>
      <c r="K1396" s="110" t="s">
        <v>3033</v>
      </c>
      <c r="L1396" s="84"/>
    </row>
    <row r="1397">
      <c r="A1397" s="110" t="s">
        <v>2563</v>
      </c>
      <c r="B1397" s="104">
        <v>0.0</v>
      </c>
      <c r="C1397" s="110" t="s">
        <v>657</v>
      </c>
      <c r="D1397" s="110" t="s">
        <v>217</v>
      </c>
      <c r="E1397" s="104">
        <v>0.0</v>
      </c>
      <c r="F1397" s="104">
        <v>0.0</v>
      </c>
      <c r="G1397" s="110" t="s">
        <v>3034</v>
      </c>
      <c r="H1397" s="112">
        <v>45825.0</v>
      </c>
      <c r="I1397" s="104">
        <v>0.0</v>
      </c>
      <c r="J1397" s="104">
        <v>0.0</v>
      </c>
      <c r="K1397" s="110" t="s">
        <v>3035</v>
      </c>
      <c r="L1397" s="84"/>
    </row>
    <row r="1398">
      <c r="A1398" s="110" t="s">
        <v>2565</v>
      </c>
      <c r="B1398" s="104">
        <v>0.0</v>
      </c>
      <c r="C1398" s="110" t="s">
        <v>657</v>
      </c>
      <c r="D1398" s="110" t="s">
        <v>217</v>
      </c>
      <c r="E1398" s="104">
        <v>0.0</v>
      </c>
      <c r="F1398" s="104">
        <v>0.0</v>
      </c>
      <c r="G1398" s="110" t="s">
        <v>1820</v>
      </c>
      <c r="H1398" s="112">
        <v>45825.0</v>
      </c>
      <c r="I1398" s="104">
        <v>0.0</v>
      </c>
      <c r="J1398" s="104">
        <v>0.0</v>
      </c>
      <c r="K1398" s="110" t="s">
        <v>3036</v>
      </c>
      <c r="L1398" s="84"/>
    </row>
    <row r="1399">
      <c r="A1399" s="110" t="s">
        <v>2567</v>
      </c>
      <c r="B1399" s="104">
        <v>0.0</v>
      </c>
      <c r="C1399" s="110" t="s">
        <v>310</v>
      </c>
      <c r="D1399" s="110" t="s">
        <v>217</v>
      </c>
      <c r="E1399" s="104">
        <v>0.0</v>
      </c>
      <c r="F1399" s="104">
        <v>240.0</v>
      </c>
      <c r="G1399" s="104">
        <v>0.0</v>
      </c>
      <c r="H1399" s="112">
        <v>45707.0</v>
      </c>
      <c r="I1399" s="104">
        <v>0.0</v>
      </c>
      <c r="J1399" s="104">
        <v>0.0</v>
      </c>
      <c r="K1399" s="110" t="s">
        <v>3037</v>
      </c>
      <c r="L1399" s="84"/>
    </row>
    <row r="1400">
      <c r="A1400" s="110" t="s">
        <v>2569</v>
      </c>
      <c r="B1400" s="104">
        <v>0.0</v>
      </c>
      <c r="C1400" s="110" t="s">
        <v>273</v>
      </c>
      <c r="D1400" s="110" t="s">
        <v>217</v>
      </c>
      <c r="E1400" s="104">
        <v>0.0</v>
      </c>
      <c r="F1400" s="104">
        <v>0.0</v>
      </c>
      <c r="G1400" s="104">
        <v>0.0</v>
      </c>
      <c r="H1400" s="112">
        <v>45925.0</v>
      </c>
      <c r="I1400" s="110" t="s">
        <v>2569</v>
      </c>
      <c r="J1400" s="104">
        <v>0.0</v>
      </c>
      <c r="K1400" s="110" t="s">
        <v>3038</v>
      </c>
      <c r="L1400" s="84"/>
    </row>
    <row r="1401">
      <c r="A1401" s="110" t="s">
        <v>2571</v>
      </c>
      <c r="B1401" s="104">
        <v>0.0</v>
      </c>
      <c r="C1401" s="110" t="s">
        <v>963</v>
      </c>
      <c r="D1401" s="110" t="s">
        <v>217</v>
      </c>
      <c r="E1401" s="104">
        <v>0.0</v>
      </c>
      <c r="F1401" s="104">
        <v>499.0</v>
      </c>
      <c r="G1401" s="110" t="s">
        <v>211</v>
      </c>
      <c r="H1401" s="112">
        <v>45930.0</v>
      </c>
      <c r="I1401" s="110" t="s">
        <v>2571</v>
      </c>
      <c r="J1401" s="104">
        <v>0.0</v>
      </c>
      <c r="K1401" s="110" t="s">
        <v>3039</v>
      </c>
      <c r="L1401" s="84"/>
    </row>
    <row r="1402">
      <c r="A1402" s="110" t="s">
        <v>2572</v>
      </c>
      <c r="B1402" s="104">
        <v>0.0</v>
      </c>
      <c r="C1402" s="110" t="s">
        <v>209</v>
      </c>
      <c r="D1402" s="110" t="s">
        <v>217</v>
      </c>
      <c r="E1402" s="104">
        <v>0.0</v>
      </c>
      <c r="F1402" s="104">
        <v>0.0</v>
      </c>
      <c r="G1402" s="104">
        <v>0.0</v>
      </c>
      <c r="H1402" s="104" t="s">
        <v>232</v>
      </c>
      <c r="I1402" s="104">
        <v>0.0</v>
      </c>
      <c r="J1402" s="104">
        <v>0.0</v>
      </c>
      <c r="K1402" s="110" t="s">
        <v>3040</v>
      </c>
      <c r="L1402" s="84"/>
    </row>
    <row r="1403">
      <c r="A1403" s="110" t="s">
        <v>2573</v>
      </c>
      <c r="B1403" s="104">
        <v>0.0</v>
      </c>
      <c r="C1403" s="110" t="s">
        <v>209</v>
      </c>
      <c r="D1403" s="110" t="s">
        <v>217</v>
      </c>
      <c r="E1403" s="104">
        <v>0.0</v>
      </c>
      <c r="F1403" s="104">
        <v>205.0</v>
      </c>
      <c r="G1403" s="110" t="s">
        <v>211</v>
      </c>
      <c r="H1403" s="112">
        <v>45915.0</v>
      </c>
      <c r="I1403" s="110" t="s">
        <v>2573</v>
      </c>
      <c r="J1403" s="104">
        <v>0.0</v>
      </c>
      <c r="K1403" s="110" t="s">
        <v>3041</v>
      </c>
      <c r="L1403" s="84"/>
    </row>
    <row r="1404">
      <c r="A1404" s="110" t="s">
        <v>2575</v>
      </c>
      <c r="B1404" s="104">
        <v>0.0</v>
      </c>
      <c r="C1404" s="110" t="s">
        <v>2576</v>
      </c>
      <c r="D1404" s="110" t="s">
        <v>217</v>
      </c>
      <c r="E1404" s="104">
        <v>0.0</v>
      </c>
      <c r="F1404" s="104">
        <v>580.0</v>
      </c>
      <c r="G1404" s="110" t="s">
        <v>373</v>
      </c>
      <c r="H1404" s="112">
        <v>45930.0</v>
      </c>
      <c r="I1404" s="110" t="s">
        <v>2575</v>
      </c>
      <c r="J1404" s="104">
        <v>0.0</v>
      </c>
      <c r="K1404" s="110" t="s">
        <v>3042</v>
      </c>
      <c r="L1404" s="84"/>
    </row>
    <row r="1405">
      <c r="A1405" s="110" t="s">
        <v>2578</v>
      </c>
      <c r="B1405" s="104">
        <v>0.0</v>
      </c>
      <c r="C1405" s="110" t="s">
        <v>386</v>
      </c>
      <c r="D1405" s="110" t="s">
        <v>217</v>
      </c>
      <c r="E1405" s="104">
        <v>0.0</v>
      </c>
      <c r="F1405" s="104">
        <v>325.0</v>
      </c>
      <c r="G1405" s="110" t="s">
        <v>211</v>
      </c>
      <c r="H1405" s="112">
        <v>45825.0</v>
      </c>
      <c r="I1405" s="104">
        <v>0.0</v>
      </c>
      <c r="J1405" s="104">
        <v>0.0</v>
      </c>
      <c r="K1405" s="110" t="s">
        <v>3043</v>
      </c>
      <c r="L1405" s="84"/>
    </row>
    <row r="1406">
      <c r="A1406" s="110" t="s">
        <v>2580</v>
      </c>
      <c r="B1406" s="104">
        <v>0.0</v>
      </c>
      <c r="C1406" s="110" t="s">
        <v>337</v>
      </c>
      <c r="D1406" s="110" t="s">
        <v>217</v>
      </c>
      <c r="E1406" s="104">
        <v>0.0</v>
      </c>
      <c r="F1406" s="104">
        <v>600.0</v>
      </c>
      <c r="G1406" s="110" t="s">
        <v>211</v>
      </c>
      <c r="H1406" s="112">
        <v>45821.0</v>
      </c>
      <c r="I1406" s="104">
        <v>0.0</v>
      </c>
      <c r="J1406" s="104">
        <v>0.0</v>
      </c>
      <c r="K1406" s="110" t="s">
        <v>3044</v>
      </c>
      <c r="L1406" s="84"/>
    </row>
    <row r="1407">
      <c r="A1407" s="110" t="s">
        <v>2580</v>
      </c>
      <c r="B1407" s="104">
        <v>0.0</v>
      </c>
      <c r="C1407" s="110" t="s">
        <v>337</v>
      </c>
      <c r="D1407" s="110" t="s">
        <v>217</v>
      </c>
      <c r="E1407" s="104">
        <v>0.0</v>
      </c>
      <c r="F1407" s="104">
        <v>560.0</v>
      </c>
      <c r="G1407" s="110" t="s">
        <v>302</v>
      </c>
      <c r="H1407" s="112">
        <v>45821.0</v>
      </c>
      <c r="I1407" s="104">
        <v>0.0</v>
      </c>
      <c r="J1407" s="104">
        <v>0.0</v>
      </c>
      <c r="K1407" s="110" t="s">
        <v>3044</v>
      </c>
      <c r="L1407" s="84"/>
    </row>
    <row r="1408">
      <c r="A1408" s="110" t="s">
        <v>2580</v>
      </c>
      <c r="B1408" s="104">
        <v>0.0</v>
      </c>
      <c r="C1408" s="110" t="s">
        <v>337</v>
      </c>
      <c r="D1408" s="110" t="s">
        <v>217</v>
      </c>
      <c r="E1408" s="104">
        <v>0.0</v>
      </c>
      <c r="F1408" s="104">
        <v>540.0</v>
      </c>
      <c r="G1408" s="110" t="s">
        <v>238</v>
      </c>
      <c r="H1408" s="112">
        <v>45821.0</v>
      </c>
      <c r="I1408" s="104">
        <v>0.0</v>
      </c>
      <c r="J1408" s="104">
        <v>0.0</v>
      </c>
      <c r="K1408" s="110" t="s">
        <v>3044</v>
      </c>
      <c r="L1408" s="84"/>
    </row>
    <row r="1409">
      <c r="A1409" s="110" t="s">
        <v>2582</v>
      </c>
      <c r="B1409" s="104">
        <v>0.0</v>
      </c>
      <c r="C1409" s="110" t="s">
        <v>261</v>
      </c>
      <c r="D1409" s="110" t="s">
        <v>217</v>
      </c>
      <c r="E1409" s="104">
        <v>0.0</v>
      </c>
      <c r="F1409" s="104">
        <v>480.0</v>
      </c>
      <c r="G1409" s="110" t="s">
        <v>211</v>
      </c>
      <c r="H1409" s="112">
        <v>45824.0</v>
      </c>
      <c r="I1409" s="110" t="s">
        <v>2559</v>
      </c>
      <c r="J1409" s="104">
        <v>0.0</v>
      </c>
      <c r="K1409" s="110" t="s">
        <v>3045</v>
      </c>
      <c r="L1409" s="84"/>
    </row>
    <row r="1410">
      <c r="A1410" s="110" t="s">
        <v>2584</v>
      </c>
      <c r="B1410" s="104">
        <v>0.0</v>
      </c>
      <c r="C1410" s="110" t="s">
        <v>337</v>
      </c>
      <c r="D1410" s="110" t="s">
        <v>217</v>
      </c>
      <c r="E1410" s="104">
        <v>0.0</v>
      </c>
      <c r="F1410" s="104">
        <v>24.0</v>
      </c>
      <c r="G1410" s="110" t="s">
        <v>238</v>
      </c>
      <c r="H1410" s="104" t="s">
        <v>232</v>
      </c>
      <c r="I1410" s="110" t="s">
        <v>3046</v>
      </c>
      <c r="J1410" s="104">
        <v>0.0</v>
      </c>
      <c r="K1410" s="110" t="s">
        <v>3047</v>
      </c>
      <c r="L1410" s="84"/>
    </row>
    <row r="1411">
      <c r="A1411" s="110" t="s">
        <v>2587</v>
      </c>
      <c r="B1411" s="104">
        <v>0.0</v>
      </c>
      <c r="C1411" s="110" t="s">
        <v>551</v>
      </c>
      <c r="D1411" s="110" t="s">
        <v>544</v>
      </c>
      <c r="E1411" s="104">
        <v>0.0</v>
      </c>
      <c r="F1411" s="104">
        <v>44.96</v>
      </c>
      <c r="G1411" s="110" t="s">
        <v>206</v>
      </c>
      <c r="H1411" s="112">
        <v>45898.0</v>
      </c>
      <c r="I1411" s="110" t="s">
        <v>2587</v>
      </c>
      <c r="J1411" s="104">
        <v>0.0</v>
      </c>
      <c r="K1411" s="110" t="s">
        <v>3048</v>
      </c>
      <c r="L1411" s="84"/>
    </row>
    <row r="1412">
      <c r="A1412" s="110" t="s">
        <v>2589</v>
      </c>
      <c r="B1412" s="104">
        <v>0.0</v>
      </c>
      <c r="C1412" s="110" t="s">
        <v>551</v>
      </c>
      <c r="D1412" s="110" t="s">
        <v>552</v>
      </c>
      <c r="E1412" s="104">
        <v>0.0</v>
      </c>
      <c r="F1412" s="104">
        <v>29.77</v>
      </c>
      <c r="G1412" s="110" t="s">
        <v>238</v>
      </c>
      <c r="H1412" s="112">
        <v>45720.0</v>
      </c>
      <c r="I1412" s="104">
        <v>0.0</v>
      </c>
      <c r="J1412" s="104">
        <v>0.0</v>
      </c>
      <c r="K1412" s="110" t="s">
        <v>3049</v>
      </c>
      <c r="L1412" s="84"/>
    </row>
    <row r="1413">
      <c r="A1413" s="110" t="s">
        <v>2591</v>
      </c>
      <c r="B1413" s="104">
        <v>0.0</v>
      </c>
      <c r="C1413" s="110" t="s">
        <v>551</v>
      </c>
      <c r="D1413" s="110" t="s">
        <v>552</v>
      </c>
      <c r="E1413" s="104">
        <v>0.0</v>
      </c>
      <c r="F1413" s="104">
        <v>26.69</v>
      </c>
      <c r="G1413" s="110" t="s">
        <v>238</v>
      </c>
      <c r="H1413" s="112">
        <v>45713.0</v>
      </c>
      <c r="I1413" s="104">
        <v>0.0</v>
      </c>
      <c r="J1413" s="104">
        <v>0.0</v>
      </c>
      <c r="K1413" s="110" t="s">
        <v>3050</v>
      </c>
      <c r="L1413" s="84"/>
    </row>
    <row r="1414">
      <c r="A1414" s="110" t="s">
        <v>2593</v>
      </c>
      <c r="B1414" s="104">
        <v>0.0</v>
      </c>
      <c r="C1414" s="110" t="s">
        <v>551</v>
      </c>
      <c r="D1414" s="110" t="s">
        <v>544</v>
      </c>
      <c r="E1414" s="104">
        <v>0.0</v>
      </c>
      <c r="F1414" s="104">
        <v>0.0</v>
      </c>
      <c r="G1414" s="104">
        <v>0.0</v>
      </c>
      <c r="H1414" s="104" t="s">
        <v>232</v>
      </c>
      <c r="I1414" s="104">
        <v>0.0</v>
      </c>
      <c r="J1414" s="104">
        <v>0.0</v>
      </c>
      <c r="K1414" s="110" t="s">
        <v>3051</v>
      </c>
      <c r="L1414" s="84"/>
    </row>
    <row r="1415">
      <c r="A1415" s="110" t="s">
        <v>2595</v>
      </c>
      <c r="B1415" s="104">
        <v>0.0</v>
      </c>
      <c r="C1415" s="110" t="s">
        <v>551</v>
      </c>
      <c r="D1415" s="110" t="s">
        <v>552</v>
      </c>
      <c r="E1415" s="104">
        <v>0.0</v>
      </c>
      <c r="F1415" s="104">
        <v>43.22</v>
      </c>
      <c r="G1415" s="110" t="s">
        <v>238</v>
      </c>
      <c r="H1415" s="112">
        <v>45681.0</v>
      </c>
      <c r="I1415" s="104">
        <v>0.0</v>
      </c>
      <c r="J1415" s="104">
        <v>0.0</v>
      </c>
      <c r="K1415" s="110" t="s">
        <v>3052</v>
      </c>
      <c r="L1415" s="84"/>
    </row>
    <row r="1416">
      <c r="A1416" s="110" t="s">
        <v>2597</v>
      </c>
      <c r="B1416" s="104">
        <v>0.0</v>
      </c>
      <c r="C1416" s="110" t="s">
        <v>317</v>
      </c>
      <c r="D1416" s="110" t="s">
        <v>210</v>
      </c>
      <c r="E1416" s="104">
        <v>0.0</v>
      </c>
      <c r="F1416" s="104">
        <v>300.0</v>
      </c>
      <c r="G1416" s="104">
        <v>0.0</v>
      </c>
      <c r="H1416" s="112">
        <v>45874.0</v>
      </c>
      <c r="I1416" s="104">
        <v>0.0</v>
      </c>
      <c r="J1416" s="104">
        <v>0.0</v>
      </c>
      <c r="K1416" s="110" t="s">
        <v>3053</v>
      </c>
      <c r="L1416" s="84"/>
    </row>
    <row r="1417">
      <c r="A1417" s="110" t="s">
        <v>2599</v>
      </c>
      <c r="B1417" s="104">
        <v>0.0</v>
      </c>
      <c r="C1417" s="110" t="s">
        <v>247</v>
      </c>
      <c r="D1417" s="110" t="s">
        <v>210</v>
      </c>
      <c r="E1417" s="104">
        <v>0.0</v>
      </c>
      <c r="F1417" s="104">
        <v>0.0</v>
      </c>
      <c r="G1417" s="104">
        <v>0.0</v>
      </c>
      <c r="H1417" s="104" t="s">
        <v>232</v>
      </c>
      <c r="I1417" s="104">
        <v>0.0</v>
      </c>
      <c r="J1417" s="104">
        <v>0.0</v>
      </c>
      <c r="K1417" s="110" t="s">
        <v>3054</v>
      </c>
      <c r="L1417" s="84"/>
    </row>
    <row r="1418">
      <c r="A1418" s="110" t="s">
        <v>2602</v>
      </c>
      <c r="B1418" s="104">
        <v>0.0</v>
      </c>
      <c r="C1418" s="110" t="s">
        <v>3055</v>
      </c>
      <c r="D1418" s="110" t="s">
        <v>201</v>
      </c>
      <c r="E1418" s="104">
        <v>0.0</v>
      </c>
      <c r="F1418" s="104">
        <v>0.0</v>
      </c>
      <c r="G1418" s="104">
        <v>0.0</v>
      </c>
      <c r="H1418" s="104" t="s">
        <v>232</v>
      </c>
      <c r="I1418" s="104">
        <v>0.0</v>
      </c>
      <c r="J1418" s="104">
        <v>0.0</v>
      </c>
      <c r="K1418" s="110" t="s">
        <v>3056</v>
      </c>
      <c r="L1418" s="84"/>
    </row>
    <row r="1419">
      <c r="A1419" s="110" t="s">
        <v>2602</v>
      </c>
      <c r="B1419" s="104">
        <v>0.0</v>
      </c>
      <c r="C1419" s="110" t="s">
        <v>3057</v>
      </c>
      <c r="D1419" s="110" t="s">
        <v>201</v>
      </c>
      <c r="E1419" s="104">
        <v>0.0</v>
      </c>
      <c r="F1419" s="104">
        <v>12.02</v>
      </c>
      <c r="G1419" s="104">
        <v>0.0</v>
      </c>
      <c r="H1419" s="112">
        <v>44734.0</v>
      </c>
      <c r="I1419" s="104">
        <v>0.0</v>
      </c>
      <c r="J1419" s="104">
        <v>0.0</v>
      </c>
      <c r="K1419" s="110" t="s">
        <v>3058</v>
      </c>
      <c r="L1419" s="84"/>
    </row>
    <row r="1420">
      <c r="A1420" s="110" t="s">
        <v>2604</v>
      </c>
      <c r="B1420" s="104">
        <v>0.0</v>
      </c>
      <c r="C1420" s="110" t="s">
        <v>3055</v>
      </c>
      <c r="D1420" s="110" t="s">
        <v>201</v>
      </c>
      <c r="E1420" s="104">
        <v>0.0</v>
      </c>
      <c r="F1420" s="104">
        <v>0.0</v>
      </c>
      <c r="G1420" s="104">
        <v>0.0</v>
      </c>
      <c r="H1420" s="104" t="s">
        <v>232</v>
      </c>
      <c r="I1420" s="104">
        <v>0.0</v>
      </c>
      <c r="J1420" s="104">
        <v>0.0</v>
      </c>
      <c r="K1420" s="110" t="s">
        <v>3059</v>
      </c>
      <c r="L1420" s="84"/>
    </row>
    <row r="1421">
      <c r="A1421" s="110" t="s">
        <v>2604</v>
      </c>
      <c r="B1421" s="104">
        <v>0.0</v>
      </c>
      <c r="C1421" s="110" t="s">
        <v>3055</v>
      </c>
      <c r="D1421" s="110" t="s">
        <v>201</v>
      </c>
      <c r="E1421" s="104">
        <v>0.0</v>
      </c>
      <c r="F1421" s="104">
        <v>19.96</v>
      </c>
      <c r="G1421" s="104">
        <v>0.0</v>
      </c>
      <c r="H1421" s="112">
        <v>44703.0</v>
      </c>
      <c r="I1421" s="104">
        <v>0.0</v>
      </c>
      <c r="J1421" s="104">
        <v>0.0</v>
      </c>
      <c r="K1421" s="110" t="s">
        <v>3059</v>
      </c>
      <c r="L1421" s="84"/>
    </row>
    <row r="1422">
      <c r="A1422" s="110" t="s">
        <v>2604</v>
      </c>
      <c r="B1422" s="104">
        <v>0.0</v>
      </c>
      <c r="C1422" s="110" t="s">
        <v>3060</v>
      </c>
      <c r="D1422" s="110" t="s">
        <v>201</v>
      </c>
      <c r="E1422" s="104">
        <v>0.0</v>
      </c>
      <c r="F1422" s="104">
        <v>23.15</v>
      </c>
      <c r="G1422" s="104">
        <v>0.0</v>
      </c>
      <c r="H1422" s="112">
        <v>44734.0</v>
      </c>
      <c r="I1422" s="104">
        <v>0.0</v>
      </c>
      <c r="J1422" s="104">
        <v>0.0</v>
      </c>
      <c r="K1422" s="110" t="s">
        <v>3061</v>
      </c>
      <c r="L1422" s="84"/>
    </row>
    <row r="1423">
      <c r="A1423" s="110" t="s">
        <v>2604</v>
      </c>
      <c r="B1423" s="104">
        <v>0.0</v>
      </c>
      <c r="C1423" s="110" t="s">
        <v>3057</v>
      </c>
      <c r="D1423" s="110" t="s">
        <v>201</v>
      </c>
      <c r="E1423" s="104">
        <v>0.0</v>
      </c>
      <c r="F1423" s="104">
        <v>19.29</v>
      </c>
      <c r="G1423" s="104">
        <v>0.0</v>
      </c>
      <c r="H1423" s="112">
        <v>44734.0</v>
      </c>
      <c r="I1423" s="104">
        <v>0.0</v>
      </c>
      <c r="J1423" s="104">
        <v>0.0</v>
      </c>
      <c r="K1423" s="110" t="s">
        <v>3062</v>
      </c>
      <c r="L1423" s="84"/>
    </row>
    <row r="1424">
      <c r="A1424" s="110" t="s">
        <v>2606</v>
      </c>
      <c r="B1424" s="104">
        <v>0.0</v>
      </c>
      <c r="C1424" s="110" t="s">
        <v>209</v>
      </c>
      <c r="D1424" s="110" t="s">
        <v>217</v>
      </c>
      <c r="E1424" s="104">
        <v>0.0</v>
      </c>
      <c r="F1424" s="104">
        <v>0.0</v>
      </c>
      <c r="G1424" s="104">
        <v>0.0</v>
      </c>
      <c r="H1424" s="104" t="s">
        <v>232</v>
      </c>
      <c r="I1424" s="104">
        <v>0.0</v>
      </c>
      <c r="J1424" s="104">
        <v>0.0</v>
      </c>
      <c r="K1424" s="110" t="s">
        <v>3063</v>
      </c>
      <c r="L1424" s="84"/>
    </row>
    <row r="1425">
      <c r="A1425" s="110" t="s">
        <v>2607</v>
      </c>
      <c r="B1425" s="104">
        <v>0.0</v>
      </c>
      <c r="C1425" s="110" t="s">
        <v>247</v>
      </c>
      <c r="D1425" s="110" t="s">
        <v>210</v>
      </c>
      <c r="E1425" s="104">
        <v>0.0</v>
      </c>
      <c r="F1425" s="104">
        <v>0.0</v>
      </c>
      <c r="G1425" s="104">
        <v>0.0</v>
      </c>
      <c r="H1425" s="104" t="s">
        <v>232</v>
      </c>
      <c r="I1425" s="104">
        <v>0.0</v>
      </c>
      <c r="J1425" s="104">
        <v>0.0</v>
      </c>
      <c r="K1425" s="110" t="s">
        <v>3064</v>
      </c>
      <c r="L1425" s="84"/>
    </row>
    <row r="1426">
      <c r="A1426" s="110" t="s">
        <v>2609</v>
      </c>
      <c r="B1426" s="104">
        <v>0.0</v>
      </c>
      <c r="C1426" s="110" t="s">
        <v>247</v>
      </c>
      <c r="D1426" s="110" t="s">
        <v>210</v>
      </c>
      <c r="E1426" s="104">
        <v>0.0</v>
      </c>
      <c r="F1426" s="104">
        <v>0.0</v>
      </c>
      <c r="G1426" s="104">
        <v>0.0</v>
      </c>
      <c r="H1426" s="104" t="s">
        <v>232</v>
      </c>
      <c r="I1426" s="104">
        <v>0.0</v>
      </c>
      <c r="J1426" s="104">
        <v>0.0</v>
      </c>
      <c r="K1426" s="110" t="s">
        <v>3065</v>
      </c>
      <c r="L1426" s="84"/>
    </row>
    <row r="1427">
      <c r="A1427" s="110" t="s">
        <v>2611</v>
      </c>
      <c r="B1427" s="104">
        <v>0.0</v>
      </c>
      <c r="C1427" s="110" t="s">
        <v>331</v>
      </c>
      <c r="D1427" s="110" t="s">
        <v>210</v>
      </c>
      <c r="E1427" s="104">
        <v>0.0</v>
      </c>
      <c r="F1427" s="104">
        <v>29.0</v>
      </c>
      <c r="G1427" s="110" t="s">
        <v>238</v>
      </c>
      <c r="H1427" s="112">
        <v>45754.0</v>
      </c>
      <c r="I1427" s="104">
        <v>0.0</v>
      </c>
      <c r="J1427" s="104">
        <v>0.0</v>
      </c>
      <c r="K1427" s="110" t="s">
        <v>3066</v>
      </c>
      <c r="L1427" s="84"/>
    </row>
    <row r="1428">
      <c r="A1428" s="110" t="s">
        <v>2613</v>
      </c>
      <c r="B1428" s="104">
        <v>0.0</v>
      </c>
      <c r="C1428" s="110" t="s">
        <v>3067</v>
      </c>
      <c r="D1428" s="110" t="s">
        <v>201</v>
      </c>
      <c r="E1428" s="104">
        <v>0.0</v>
      </c>
      <c r="F1428" s="104">
        <v>10.47</v>
      </c>
      <c r="G1428" s="104">
        <v>0.0</v>
      </c>
      <c r="H1428" s="112">
        <v>45841.0</v>
      </c>
      <c r="I1428" s="104">
        <v>0.0</v>
      </c>
      <c r="J1428" s="104">
        <v>0.0</v>
      </c>
      <c r="K1428" s="110" t="s">
        <v>3068</v>
      </c>
      <c r="L1428" s="84"/>
    </row>
    <row r="1429">
      <c r="A1429" s="110" t="s">
        <v>2615</v>
      </c>
      <c r="B1429" s="104">
        <v>0.0</v>
      </c>
      <c r="C1429" s="110" t="s">
        <v>3067</v>
      </c>
      <c r="D1429" s="110" t="s">
        <v>201</v>
      </c>
      <c r="E1429" s="104">
        <v>0.0</v>
      </c>
      <c r="F1429" s="104">
        <v>10.25</v>
      </c>
      <c r="G1429" s="104">
        <v>0.0</v>
      </c>
      <c r="H1429" s="112">
        <v>45841.0</v>
      </c>
      <c r="I1429" s="104">
        <v>0.0</v>
      </c>
      <c r="J1429" s="104">
        <v>0.0</v>
      </c>
      <c r="K1429" s="110" t="s">
        <v>3069</v>
      </c>
      <c r="L1429" s="84"/>
    </row>
    <row r="1430">
      <c r="A1430" s="110" t="s">
        <v>2617</v>
      </c>
      <c r="B1430" s="104">
        <v>0.0</v>
      </c>
      <c r="C1430" s="110" t="s">
        <v>344</v>
      </c>
      <c r="D1430" s="110" t="s">
        <v>226</v>
      </c>
      <c r="E1430" s="104">
        <v>0.0</v>
      </c>
      <c r="F1430" s="104">
        <v>7.0</v>
      </c>
      <c r="G1430" s="110" t="s">
        <v>334</v>
      </c>
      <c r="H1430" s="112">
        <v>45849.0</v>
      </c>
      <c r="I1430" s="110" t="s">
        <v>2617</v>
      </c>
      <c r="J1430" s="104">
        <v>0.0</v>
      </c>
      <c r="K1430" s="110" t="s">
        <v>3070</v>
      </c>
      <c r="L1430" s="84"/>
    </row>
    <row r="1431">
      <c r="A1431" s="110" t="s">
        <v>2620</v>
      </c>
      <c r="B1431" s="104">
        <v>0.0</v>
      </c>
      <c r="C1431" s="110" t="s">
        <v>2539</v>
      </c>
      <c r="D1431" s="110" t="s">
        <v>612</v>
      </c>
      <c r="E1431" s="104">
        <v>0.0</v>
      </c>
      <c r="F1431" s="104">
        <v>60.61</v>
      </c>
      <c r="G1431" s="110" t="s">
        <v>3071</v>
      </c>
      <c r="H1431" s="112">
        <v>45909.0</v>
      </c>
      <c r="I1431" s="110" t="s">
        <v>2620</v>
      </c>
      <c r="J1431" s="104">
        <v>0.0</v>
      </c>
      <c r="K1431" s="110" t="s">
        <v>3072</v>
      </c>
      <c r="L1431" s="84"/>
    </row>
    <row r="1432">
      <c r="A1432" s="110" t="s">
        <v>2621</v>
      </c>
      <c r="B1432" s="104">
        <v>0.0</v>
      </c>
      <c r="C1432" s="110" t="s">
        <v>3073</v>
      </c>
      <c r="D1432" s="110" t="s">
        <v>217</v>
      </c>
      <c r="E1432" s="104">
        <v>0.0</v>
      </c>
      <c r="F1432" s="104">
        <v>22.5</v>
      </c>
      <c r="G1432" s="110" t="s">
        <v>373</v>
      </c>
      <c r="H1432" s="112">
        <v>45923.0</v>
      </c>
      <c r="I1432" s="110" t="s">
        <v>3074</v>
      </c>
      <c r="J1432" s="104">
        <v>0.0</v>
      </c>
      <c r="K1432" s="110" t="s">
        <v>3075</v>
      </c>
      <c r="L1432" s="84"/>
    </row>
    <row r="1433">
      <c r="A1433" s="110" t="s">
        <v>2622</v>
      </c>
      <c r="B1433" s="104">
        <v>0.0</v>
      </c>
      <c r="C1433" s="110" t="s">
        <v>365</v>
      </c>
      <c r="D1433" s="110" t="s">
        <v>226</v>
      </c>
      <c r="E1433" s="104">
        <v>0.0</v>
      </c>
      <c r="F1433" s="104">
        <v>0.0</v>
      </c>
      <c r="G1433" s="104">
        <v>0.0</v>
      </c>
      <c r="H1433" s="104" t="s">
        <v>232</v>
      </c>
      <c r="I1433" s="104">
        <v>0.0</v>
      </c>
      <c r="J1433" s="104">
        <v>0.0</v>
      </c>
      <c r="K1433" s="110" t="s">
        <v>3076</v>
      </c>
      <c r="L1433" s="84"/>
    </row>
    <row r="1434">
      <c r="A1434" s="110" t="s">
        <v>2623</v>
      </c>
      <c r="B1434" s="104">
        <v>0.0</v>
      </c>
      <c r="C1434" s="110" t="s">
        <v>266</v>
      </c>
      <c r="D1434" s="110" t="s">
        <v>226</v>
      </c>
      <c r="E1434" s="104">
        <v>0.0</v>
      </c>
      <c r="F1434" s="104">
        <v>5.8</v>
      </c>
      <c r="G1434" s="110" t="s">
        <v>2935</v>
      </c>
      <c r="H1434" s="112">
        <v>45860.0</v>
      </c>
      <c r="I1434" s="110" t="s">
        <v>2623</v>
      </c>
      <c r="J1434" s="104">
        <v>0.0</v>
      </c>
      <c r="K1434" s="110" t="s">
        <v>3077</v>
      </c>
      <c r="L1434" s="84"/>
    </row>
    <row r="1435">
      <c r="A1435" s="110" t="s">
        <v>2626</v>
      </c>
      <c r="B1435" s="104">
        <v>0.0</v>
      </c>
      <c r="C1435" s="110" t="s">
        <v>618</v>
      </c>
      <c r="D1435" s="110" t="s">
        <v>226</v>
      </c>
      <c r="E1435" s="104">
        <v>0.0</v>
      </c>
      <c r="F1435" s="104">
        <v>5.4</v>
      </c>
      <c r="G1435" s="110" t="s">
        <v>3078</v>
      </c>
      <c r="H1435" s="112">
        <v>45985.0</v>
      </c>
      <c r="I1435" s="110" t="s">
        <v>2626</v>
      </c>
      <c r="J1435" s="104">
        <v>0.0</v>
      </c>
      <c r="K1435" s="110" t="s">
        <v>3079</v>
      </c>
      <c r="L1435" s="84"/>
    </row>
    <row r="1436">
      <c r="A1436" s="110" t="s">
        <v>2626</v>
      </c>
      <c r="B1436" s="104">
        <v>0.0</v>
      </c>
      <c r="C1436" s="110" t="s">
        <v>618</v>
      </c>
      <c r="D1436" s="110" t="s">
        <v>226</v>
      </c>
      <c r="E1436" s="104">
        <v>0.0</v>
      </c>
      <c r="F1436" s="104">
        <v>5.4</v>
      </c>
      <c r="G1436" s="110" t="s">
        <v>3080</v>
      </c>
      <c r="H1436" s="112">
        <v>45975.0</v>
      </c>
      <c r="I1436" s="110" t="s">
        <v>2626</v>
      </c>
      <c r="J1436" s="104">
        <v>0.0</v>
      </c>
      <c r="K1436" s="110" t="s">
        <v>3079</v>
      </c>
      <c r="L1436" s="84"/>
    </row>
    <row r="1437">
      <c r="A1437" s="110" t="s">
        <v>2627</v>
      </c>
      <c r="B1437" s="104">
        <v>0.0</v>
      </c>
      <c r="C1437" s="110" t="s">
        <v>331</v>
      </c>
      <c r="D1437" s="110" t="s">
        <v>210</v>
      </c>
      <c r="E1437" s="104">
        <v>0.0</v>
      </c>
      <c r="F1437" s="104">
        <v>67.0</v>
      </c>
      <c r="G1437" s="110" t="s">
        <v>238</v>
      </c>
      <c r="H1437" s="112">
        <v>45909.0</v>
      </c>
      <c r="I1437" s="110" t="s">
        <v>2627</v>
      </c>
      <c r="J1437" s="104">
        <v>0.0</v>
      </c>
      <c r="K1437" s="110" t="s">
        <v>3081</v>
      </c>
      <c r="L1437" s="84"/>
    </row>
    <row r="1438">
      <c r="A1438" s="110" t="s">
        <v>2628</v>
      </c>
      <c r="B1438" s="104">
        <v>0.0</v>
      </c>
      <c r="C1438" s="110" t="s">
        <v>261</v>
      </c>
      <c r="D1438" s="110" t="s">
        <v>210</v>
      </c>
      <c r="E1438" s="104">
        <v>0.0</v>
      </c>
      <c r="F1438" s="104">
        <v>220.0</v>
      </c>
      <c r="G1438" s="110" t="s">
        <v>302</v>
      </c>
      <c r="H1438" s="112">
        <v>45915.0</v>
      </c>
      <c r="I1438" s="110" t="s">
        <v>3082</v>
      </c>
      <c r="J1438" s="104">
        <v>0.0</v>
      </c>
      <c r="K1438" s="110" t="s">
        <v>3083</v>
      </c>
      <c r="L1438" s="84"/>
    </row>
    <row r="1439">
      <c r="A1439" s="110" t="s">
        <v>2629</v>
      </c>
      <c r="B1439" s="104">
        <v>0.0</v>
      </c>
      <c r="C1439" s="110" t="s">
        <v>209</v>
      </c>
      <c r="D1439" s="110" t="s">
        <v>217</v>
      </c>
      <c r="E1439" s="104">
        <v>0.0</v>
      </c>
      <c r="F1439" s="104">
        <v>0.0</v>
      </c>
      <c r="G1439" s="104">
        <v>0.0</v>
      </c>
      <c r="H1439" s="104" t="s">
        <v>232</v>
      </c>
      <c r="I1439" s="104">
        <v>0.0</v>
      </c>
      <c r="J1439" s="104">
        <v>0.0</v>
      </c>
      <c r="K1439" s="110" t="s">
        <v>3084</v>
      </c>
      <c r="L1439" s="84"/>
    </row>
    <row r="1440">
      <c r="A1440" s="110" t="s">
        <v>2632</v>
      </c>
      <c r="B1440" s="104">
        <v>0.0</v>
      </c>
      <c r="C1440" s="110" t="s">
        <v>209</v>
      </c>
      <c r="D1440" s="110" t="s">
        <v>217</v>
      </c>
      <c r="E1440" s="104">
        <v>0.0</v>
      </c>
      <c r="F1440" s="104">
        <v>20.75</v>
      </c>
      <c r="G1440" s="110" t="s">
        <v>238</v>
      </c>
      <c r="H1440" s="112">
        <v>45846.0</v>
      </c>
      <c r="I1440" s="110" t="s">
        <v>2632</v>
      </c>
      <c r="J1440" s="104">
        <v>0.0</v>
      </c>
      <c r="K1440" s="110" t="s">
        <v>3085</v>
      </c>
      <c r="L1440" s="84"/>
    </row>
    <row r="1441">
      <c r="A1441" s="110" t="s">
        <v>2633</v>
      </c>
      <c r="B1441" s="104">
        <v>0.0</v>
      </c>
      <c r="C1441" s="110" t="s">
        <v>261</v>
      </c>
      <c r="D1441" s="110" t="s">
        <v>217</v>
      </c>
      <c r="E1441" s="104">
        <v>0.0</v>
      </c>
      <c r="F1441" s="104">
        <v>54.64</v>
      </c>
      <c r="G1441" s="110" t="s">
        <v>338</v>
      </c>
      <c r="H1441" s="112">
        <v>45883.0</v>
      </c>
      <c r="I1441" s="110" t="s">
        <v>3086</v>
      </c>
      <c r="J1441" s="104">
        <v>0.0</v>
      </c>
      <c r="K1441" s="110" t="s">
        <v>3087</v>
      </c>
      <c r="L1441" s="84"/>
    </row>
    <row r="1442">
      <c r="A1442" s="110" t="s">
        <v>2634</v>
      </c>
      <c r="B1442" s="104">
        <v>0.0</v>
      </c>
      <c r="C1442" s="110" t="s">
        <v>261</v>
      </c>
      <c r="D1442" s="110" t="s">
        <v>217</v>
      </c>
      <c r="E1442" s="104">
        <v>0.0</v>
      </c>
      <c r="F1442" s="104">
        <v>46.0</v>
      </c>
      <c r="G1442" s="110" t="s">
        <v>238</v>
      </c>
      <c r="H1442" s="112">
        <v>45813.0</v>
      </c>
      <c r="I1442" s="110" t="s">
        <v>3086</v>
      </c>
      <c r="J1442" s="104">
        <v>0.0</v>
      </c>
      <c r="K1442" s="110" t="s">
        <v>3088</v>
      </c>
      <c r="L1442" s="84"/>
    </row>
    <row r="1443">
      <c r="A1443" s="110" t="s">
        <v>2635</v>
      </c>
      <c r="B1443" s="104">
        <v>0.0</v>
      </c>
      <c r="C1443" s="110" t="s">
        <v>535</v>
      </c>
      <c r="D1443" s="110" t="s">
        <v>322</v>
      </c>
      <c r="E1443" s="104">
        <v>0.0</v>
      </c>
      <c r="F1443" s="104">
        <v>240.0</v>
      </c>
      <c r="G1443" s="110" t="s">
        <v>238</v>
      </c>
      <c r="H1443" s="112">
        <v>45876.0</v>
      </c>
      <c r="I1443" s="104">
        <v>0.0</v>
      </c>
      <c r="J1443" s="104">
        <v>0.0</v>
      </c>
      <c r="K1443" s="110" t="s">
        <v>3089</v>
      </c>
      <c r="L1443" s="84"/>
    </row>
    <row r="1444">
      <c r="A1444" s="110" t="s">
        <v>2638</v>
      </c>
      <c r="B1444" s="104">
        <v>0.0</v>
      </c>
      <c r="C1444" s="110" t="s">
        <v>535</v>
      </c>
      <c r="D1444" s="110" t="s">
        <v>322</v>
      </c>
      <c r="E1444" s="104">
        <v>0.0</v>
      </c>
      <c r="F1444" s="104">
        <v>290.0</v>
      </c>
      <c r="G1444" s="110" t="s">
        <v>302</v>
      </c>
      <c r="H1444" s="112">
        <v>45876.0</v>
      </c>
      <c r="I1444" s="104">
        <v>0.0</v>
      </c>
      <c r="J1444" s="104">
        <v>0.0</v>
      </c>
      <c r="K1444" s="110" t="s">
        <v>3090</v>
      </c>
      <c r="L1444" s="84"/>
    </row>
    <row r="1445">
      <c r="A1445" s="110" t="s">
        <v>2639</v>
      </c>
      <c r="B1445" s="110" t="s">
        <v>690</v>
      </c>
      <c r="C1445" s="110" t="s">
        <v>261</v>
      </c>
      <c r="D1445" s="110" t="s">
        <v>322</v>
      </c>
      <c r="E1445" s="104">
        <v>0.0</v>
      </c>
      <c r="F1445" s="104">
        <v>0.0</v>
      </c>
      <c r="G1445" s="104">
        <v>0.0</v>
      </c>
      <c r="H1445" s="104" t="s">
        <v>232</v>
      </c>
      <c r="I1445" s="104">
        <v>0.0</v>
      </c>
      <c r="J1445" s="104">
        <v>0.0</v>
      </c>
      <c r="K1445" s="110" t="s">
        <v>3091</v>
      </c>
      <c r="L1445" s="84"/>
    </row>
    <row r="1446">
      <c r="A1446" s="110" t="s">
        <v>2640</v>
      </c>
      <c r="B1446" s="104">
        <v>0.0</v>
      </c>
      <c r="C1446" s="110" t="s">
        <v>261</v>
      </c>
      <c r="D1446" s="110" t="s">
        <v>322</v>
      </c>
      <c r="E1446" s="104">
        <v>0.0</v>
      </c>
      <c r="F1446" s="104">
        <v>15.25</v>
      </c>
      <c r="G1446" s="110" t="s">
        <v>262</v>
      </c>
      <c r="H1446" s="112">
        <v>45916.0</v>
      </c>
      <c r="I1446" s="110" t="s">
        <v>3092</v>
      </c>
      <c r="J1446" s="104">
        <v>0.0</v>
      </c>
      <c r="K1446" s="110" t="s">
        <v>3093</v>
      </c>
      <c r="L1446" s="84"/>
    </row>
    <row r="1447">
      <c r="A1447" s="110" t="s">
        <v>2641</v>
      </c>
      <c r="B1447" s="104">
        <v>0.0</v>
      </c>
      <c r="C1447" s="110" t="s">
        <v>337</v>
      </c>
      <c r="D1447" s="110" t="s">
        <v>217</v>
      </c>
      <c r="E1447" s="104">
        <v>0.0</v>
      </c>
      <c r="F1447" s="104">
        <v>16.5</v>
      </c>
      <c r="G1447" s="110" t="s">
        <v>238</v>
      </c>
      <c r="H1447" s="112">
        <v>45567.0</v>
      </c>
      <c r="I1447" s="104">
        <v>0.0</v>
      </c>
      <c r="J1447" s="104">
        <v>0.0</v>
      </c>
      <c r="K1447" s="110" t="s">
        <v>3094</v>
      </c>
      <c r="L1447" s="84"/>
    </row>
    <row r="1448">
      <c r="A1448" s="110" t="s">
        <v>2641</v>
      </c>
      <c r="B1448" s="104">
        <v>0.0</v>
      </c>
      <c r="C1448" s="110" t="s">
        <v>209</v>
      </c>
      <c r="D1448" s="110" t="s">
        <v>217</v>
      </c>
      <c r="E1448" s="104">
        <v>0.0</v>
      </c>
      <c r="F1448" s="104">
        <v>0.0</v>
      </c>
      <c r="G1448" s="104">
        <v>0.0</v>
      </c>
      <c r="H1448" s="104" t="s">
        <v>232</v>
      </c>
      <c r="I1448" s="104">
        <v>0.0</v>
      </c>
      <c r="J1448" s="104">
        <v>0.0</v>
      </c>
      <c r="K1448" s="110" t="s">
        <v>3095</v>
      </c>
      <c r="L1448" s="84"/>
    </row>
    <row r="1449">
      <c r="A1449" s="110" t="s">
        <v>2644</v>
      </c>
      <c r="B1449" s="110" t="s">
        <v>690</v>
      </c>
      <c r="C1449" s="110" t="s">
        <v>261</v>
      </c>
      <c r="D1449" s="110" t="s">
        <v>322</v>
      </c>
      <c r="E1449" s="104">
        <v>0.0</v>
      </c>
      <c r="F1449" s="104">
        <v>0.0</v>
      </c>
      <c r="G1449" s="104">
        <v>0.0</v>
      </c>
      <c r="H1449" s="104" t="s">
        <v>232</v>
      </c>
      <c r="I1449" s="104">
        <v>0.0</v>
      </c>
      <c r="J1449" s="104">
        <v>0.0</v>
      </c>
      <c r="K1449" s="110" t="s">
        <v>3096</v>
      </c>
      <c r="L1449" s="84"/>
    </row>
    <row r="1450">
      <c r="A1450" s="110" t="s">
        <v>2645</v>
      </c>
      <c r="B1450" s="104">
        <v>0.0</v>
      </c>
      <c r="C1450" s="110" t="s">
        <v>337</v>
      </c>
      <c r="D1450" s="110" t="s">
        <v>217</v>
      </c>
      <c r="E1450" s="104">
        <v>0.0</v>
      </c>
      <c r="F1450" s="104">
        <v>32.0</v>
      </c>
      <c r="G1450" s="110" t="s">
        <v>238</v>
      </c>
      <c r="H1450" s="112">
        <v>45806.0</v>
      </c>
      <c r="I1450" s="110" t="s">
        <v>3097</v>
      </c>
      <c r="J1450" s="104">
        <v>0.0</v>
      </c>
      <c r="K1450" s="110" t="s">
        <v>3098</v>
      </c>
      <c r="L1450" s="84"/>
    </row>
    <row r="1451">
      <c r="A1451" s="110" t="s">
        <v>2645</v>
      </c>
      <c r="B1451" s="104">
        <v>0.0</v>
      </c>
      <c r="C1451" s="110" t="s">
        <v>209</v>
      </c>
      <c r="D1451" s="110" t="s">
        <v>217</v>
      </c>
      <c r="E1451" s="104">
        <v>0.0</v>
      </c>
      <c r="F1451" s="104">
        <v>0.0</v>
      </c>
      <c r="G1451" s="104">
        <v>0.0</v>
      </c>
      <c r="H1451" s="104" t="s">
        <v>232</v>
      </c>
      <c r="I1451" s="104">
        <v>0.0</v>
      </c>
      <c r="J1451" s="104">
        <v>0.0</v>
      </c>
      <c r="K1451" s="110" t="s">
        <v>3099</v>
      </c>
      <c r="L1451" s="84"/>
    </row>
    <row r="1452">
      <c r="A1452" s="110" t="s">
        <v>2646</v>
      </c>
      <c r="B1452" s="104">
        <v>0.0</v>
      </c>
      <c r="C1452" s="110" t="s">
        <v>261</v>
      </c>
      <c r="D1452" s="110" t="s">
        <v>322</v>
      </c>
      <c r="E1452" s="104">
        <v>0.0</v>
      </c>
      <c r="F1452" s="104">
        <v>46.0</v>
      </c>
      <c r="G1452" s="110" t="s">
        <v>238</v>
      </c>
      <c r="H1452" s="112">
        <v>45793.0</v>
      </c>
      <c r="I1452" s="104">
        <v>0.0</v>
      </c>
      <c r="J1452" s="104">
        <v>0.0</v>
      </c>
      <c r="K1452" s="110" t="s">
        <v>3100</v>
      </c>
      <c r="L1452" s="84"/>
    </row>
    <row r="1453">
      <c r="A1453" s="110" t="s">
        <v>2647</v>
      </c>
      <c r="B1453" s="110" t="s">
        <v>2647</v>
      </c>
      <c r="C1453" s="110" t="s">
        <v>405</v>
      </c>
      <c r="D1453" s="110" t="s">
        <v>210</v>
      </c>
      <c r="E1453" s="104">
        <v>0.0</v>
      </c>
      <c r="F1453" s="104">
        <v>149.0</v>
      </c>
      <c r="G1453" s="110" t="s">
        <v>302</v>
      </c>
      <c r="H1453" s="112">
        <v>44887.0</v>
      </c>
      <c r="I1453" s="104">
        <v>0.0</v>
      </c>
      <c r="J1453" s="104">
        <v>0.0</v>
      </c>
      <c r="K1453" s="110" t="s">
        <v>3101</v>
      </c>
      <c r="L1453" s="84"/>
    </row>
    <row r="1454">
      <c r="A1454" s="110" t="s">
        <v>2650</v>
      </c>
      <c r="B1454" s="104">
        <v>0.0</v>
      </c>
      <c r="C1454" s="110" t="s">
        <v>337</v>
      </c>
      <c r="D1454" s="110" t="s">
        <v>210</v>
      </c>
      <c r="E1454" s="104">
        <v>0.0</v>
      </c>
      <c r="F1454" s="104">
        <v>28.0</v>
      </c>
      <c r="G1454" s="110" t="s">
        <v>238</v>
      </c>
      <c r="H1454" s="112">
        <v>45995.0</v>
      </c>
      <c r="I1454" s="110" t="s">
        <v>3102</v>
      </c>
      <c r="J1454" s="104">
        <v>0.0</v>
      </c>
      <c r="K1454" s="110" t="s">
        <v>3103</v>
      </c>
      <c r="L1454" s="84"/>
    </row>
    <row r="1455">
      <c r="A1455" s="110" t="s">
        <v>2651</v>
      </c>
      <c r="B1455" s="104">
        <v>0.0</v>
      </c>
      <c r="C1455" s="110" t="s">
        <v>337</v>
      </c>
      <c r="D1455" s="110" t="s">
        <v>322</v>
      </c>
      <c r="E1455" s="104">
        <v>0.0</v>
      </c>
      <c r="F1455" s="104">
        <v>15.0</v>
      </c>
      <c r="G1455" s="110" t="s">
        <v>345</v>
      </c>
      <c r="H1455" s="112">
        <v>45995.0</v>
      </c>
      <c r="I1455" s="110" t="s">
        <v>2651</v>
      </c>
      <c r="J1455" s="104">
        <v>0.0</v>
      </c>
      <c r="K1455" s="110" t="s">
        <v>3104</v>
      </c>
      <c r="L1455" s="84"/>
    </row>
    <row r="1456">
      <c r="A1456" s="110" t="s">
        <v>2652</v>
      </c>
      <c r="B1456" s="104">
        <v>0.0</v>
      </c>
      <c r="C1456" s="110" t="s">
        <v>337</v>
      </c>
      <c r="D1456" s="110" t="s">
        <v>322</v>
      </c>
      <c r="E1456" s="104">
        <v>0.0</v>
      </c>
      <c r="F1456" s="104">
        <v>20.0</v>
      </c>
      <c r="G1456" s="110" t="s">
        <v>345</v>
      </c>
      <c r="H1456" s="112">
        <v>45995.0</v>
      </c>
      <c r="I1456" s="110" t="s">
        <v>2652</v>
      </c>
      <c r="J1456" s="104">
        <v>0.0</v>
      </c>
      <c r="K1456" s="110" t="s">
        <v>3105</v>
      </c>
      <c r="L1456" s="84"/>
    </row>
    <row r="1457">
      <c r="A1457" s="110" t="s">
        <v>2653</v>
      </c>
      <c r="B1457" s="104">
        <v>0.0</v>
      </c>
      <c r="C1457" s="110" t="s">
        <v>337</v>
      </c>
      <c r="D1457" s="110" t="s">
        <v>217</v>
      </c>
      <c r="E1457" s="104">
        <v>0.0</v>
      </c>
      <c r="F1457" s="104">
        <v>38.0</v>
      </c>
      <c r="G1457" s="110" t="s">
        <v>345</v>
      </c>
      <c r="H1457" s="112">
        <v>45995.0</v>
      </c>
      <c r="I1457" s="110" t="s">
        <v>2653</v>
      </c>
      <c r="J1457" s="104">
        <v>0.0</v>
      </c>
      <c r="K1457" s="110" t="s">
        <v>3106</v>
      </c>
      <c r="L1457" s="84"/>
    </row>
    <row r="1458">
      <c r="A1458" s="110" t="s">
        <v>2656</v>
      </c>
      <c r="B1458" s="104">
        <v>0.0</v>
      </c>
      <c r="C1458" s="110" t="s">
        <v>337</v>
      </c>
      <c r="D1458" s="110" t="s">
        <v>217</v>
      </c>
      <c r="E1458" s="104">
        <v>0.0</v>
      </c>
      <c r="F1458" s="104">
        <v>30.0</v>
      </c>
      <c r="G1458" s="110" t="s">
        <v>345</v>
      </c>
      <c r="H1458" s="112">
        <v>45995.0</v>
      </c>
      <c r="I1458" s="110" t="s">
        <v>2656</v>
      </c>
      <c r="J1458" s="104">
        <v>0.0</v>
      </c>
      <c r="K1458" s="110" t="s">
        <v>3107</v>
      </c>
      <c r="L1458" s="84"/>
    </row>
    <row r="1459">
      <c r="A1459" s="110" t="s">
        <v>2657</v>
      </c>
      <c r="B1459" s="104">
        <v>0.0</v>
      </c>
      <c r="C1459" s="110" t="s">
        <v>337</v>
      </c>
      <c r="D1459" s="110" t="s">
        <v>210</v>
      </c>
      <c r="E1459" s="104">
        <v>0.0</v>
      </c>
      <c r="F1459" s="104">
        <v>29.0</v>
      </c>
      <c r="G1459" s="110" t="s">
        <v>345</v>
      </c>
      <c r="H1459" s="112">
        <v>45995.0</v>
      </c>
      <c r="I1459" s="110" t="s">
        <v>2657</v>
      </c>
      <c r="J1459" s="104">
        <v>0.0</v>
      </c>
      <c r="K1459" s="110" t="s">
        <v>3108</v>
      </c>
      <c r="L1459" s="84"/>
    </row>
    <row r="1460">
      <c r="A1460" s="110" t="s">
        <v>2658</v>
      </c>
      <c r="B1460" s="104">
        <v>0.0</v>
      </c>
      <c r="C1460" s="110" t="s">
        <v>337</v>
      </c>
      <c r="D1460" s="110" t="s">
        <v>210</v>
      </c>
      <c r="E1460" s="104">
        <v>0.0</v>
      </c>
      <c r="F1460" s="104">
        <v>19.0</v>
      </c>
      <c r="G1460" s="110" t="s">
        <v>345</v>
      </c>
      <c r="H1460" s="112">
        <v>45995.0</v>
      </c>
      <c r="I1460" s="110" t="s">
        <v>2658</v>
      </c>
      <c r="J1460" s="104">
        <v>0.0</v>
      </c>
      <c r="K1460" s="110" t="s">
        <v>3109</v>
      </c>
      <c r="L1460" s="84"/>
    </row>
    <row r="1461">
      <c r="A1461" s="110" t="s">
        <v>2659</v>
      </c>
      <c r="B1461" s="104">
        <v>0.0</v>
      </c>
      <c r="C1461" s="110" t="s">
        <v>337</v>
      </c>
      <c r="D1461" s="110" t="s">
        <v>217</v>
      </c>
      <c r="E1461" s="104">
        <v>0.0</v>
      </c>
      <c r="F1461" s="104">
        <v>68.0</v>
      </c>
      <c r="G1461" s="110" t="s">
        <v>345</v>
      </c>
      <c r="H1461" s="112">
        <v>45995.0</v>
      </c>
      <c r="I1461" s="110" t="s">
        <v>2659</v>
      </c>
      <c r="J1461" s="104">
        <v>0.0</v>
      </c>
      <c r="K1461" s="110" t="s">
        <v>3110</v>
      </c>
      <c r="L1461" s="84"/>
    </row>
    <row r="1462">
      <c r="A1462" s="110" t="s">
        <v>2662</v>
      </c>
      <c r="B1462" s="104">
        <v>0.0</v>
      </c>
      <c r="C1462" s="110" t="s">
        <v>337</v>
      </c>
      <c r="D1462" s="110" t="s">
        <v>217</v>
      </c>
      <c r="E1462" s="104">
        <v>0.0</v>
      </c>
      <c r="F1462" s="104">
        <v>385.0</v>
      </c>
      <c r="G1462" s="110" t="s">
        <v>345</v>
      </c>
      <c r="H1462" s="112">
        <v>45995.0</v>
      </c>
      <c r="I1462" s="110" t="s">
        <v>2662</v>
      </c>
      <c r="J1462" s="104">
        <v>0.0</v>
      </c>
      <c r="K1462" s="110" t="s">
        <v>3111</v>
      </c>
      <c r="L1462" s="84"/>
    </row>
    <row r="1463">
      <c r="A1463" s="110" t="s">
        <v>2663</v>
      </c>
      <c r="B1463" s="104">
        <v>0.0</v>
      </c>
      <c r="C1463" s="110" t="s">
        <v>337</v>
      </c>
      <c r="D1463" s="110" t="s">
        <v>612</v>
      </c>
      <c r="E1463" s="104">
        <v>0.0</v>
      </c>
      <c r="F1463" s="104">
        <v>20.0</v>
      </c>
      <c r="G1463" s="110" t="s">
        <v>345</v>
      </c>
      <c r="H1463" s="112">
        <v>45995.0</v>
      </c>
      <c r="I1463" s="110" t="s">
        <v>2663</v>
      </c>
      <c r="J1463" s="104">
        <v>0.0</v>
      </c>
      <c r="K1463" s="110" t="s">
        <v>3112</v>
      </c>
      <c r="L1463" s="84"/>
    </row>
    <row r="1464">
      <c r="A1464" s="110" t="s">
        <v>2664</v>
      </c>
      <c r="B1464" s="104">
        <v>0.0</v>
      </c>
      <c r="C1464" s="110" t="s">
        <v>3113</v>
      </c>
      <c r="D1464" s="110" t="s">
        <v>612</v>
      </c>
      <c r="E1464" s="104">
        <v>0.0</v>
      </c>
      <c r="F1464" s="104">
        <v>0.0</v>
      </c>
      <c r="G1464" s="104">
        <v>0.0</v>
      </c>
      <c r="H1464" s="112">
        <v>45995.0</v>
      </c>
      <c r="I1464" s="110" t="s">
        <v>2664</v>
      </c>
      <c r="J1464" s="104">
        <v>0.0</v>
      </c>
      <c r="K1464" s="110" t="s">
        <v>3114</v>
      </c>
      <c r="L1464" s="84"/>
    </row>
    <row r="1465">
      <c r="A1465" s="110" t="s">
        <v>2665</v>
      </c>
      <c r="B1465" s="104">
        <v>0.0</v>
      </c>
      <c r="C1465" s="110" t="s">
        <v>3113</v>
      </c>
      <c r="D1465" s="110" t="s">
        <v>612</v>
      </c>
      <c r="E1465" s="104">
        <v>0.0</v>
      </c>
      <c r="F1465" s="104">
        <v>0.0</v>
      </c>
      <c r="G1465" s="104">
        <v>0.0</v>
      </c>
      <c r="H1465" s="112">
        <v>45995.0</v>
      </c>
      <c r="I1465" s="110" t="s">
        <v>2665</v>
      </c>
      <c r="J1465" s="104">
        <v>0.0</v>
      </c>
      <c r="K1465" s="110" t="s">
        <v>3115</v>
      </c>
      <c r="L1465" s="84"/>
    </row>
    <row r="1466">
      <c r="A1466" s="110" t="s">
        <v>2668</v>
      </c>
      <c r="B1466" s="104">
        <v>0.0</v>
      </c>
      <c r="C1466" s="110" t="s">
        <v>386</v>
      </c>
      <c r="D1466" s="110" t="s">
        <v>217</v>
      </c>
      <c r="E1466" s="104">
        <v>0.0</v>
      </c>
      <c r="F1466" s="104">
        <v>55.0</v>
      </c>
      <c r="G1466" s="110" t="s">
        <v>345</v>
      </c>
      <c r="H1466" s="112">
        <v>45995.0</v>
      </c>
      <c r="I1466" s="110" t="s">
        <v>2668</v>
      </c>
      <c r="J1466" s="104">
        <v>0.0</v>
      </c>
      <c r="K1466" s="110" t="s">
        <v>3116</v>
      </c>
      <c r="L1466" s="84"/>
    </row>
    <row r="1467">
      <c r="A1467" s="110" t="s">
        <v>2669</v>
      </c>
      <c r="B1467" s="104">
        <v>0.0</v>
      </c>
      <c r="C1467" s="110" t="s">
        <v>386</v>
      </c>
      <c r="D1467" s="110" t="s">
        <v>210</v>
      </c>
      <c r="E1467" s="104">
        <v>0.0</v>
      </c>
      <c r="F1467" s="104">
        <v>18.0</v>
      </c>
      <c r="G1467" s="110" t="s">
        <v>345</v>
      </c>
      <c r="H1467" s="112">
        <v>45995.0</v>
      </c>
      <c r="I1467" s="110" t="s">
        <v>2669</v>
      </c>
      <c r="J1467" s="104">
        <v>0.0</v>
      </c>
      <c r="K1467" s="110" t="s">
        <v>3117</v>
      </c>
      <c r="L1467" s="84"/>
    </row>
    <row r="1468">
      <c r="A1468" s="110" t="s">
        <v>2670</v>
      </c>
      <c r="B1468" s="104">
        <v>0.0</v>
      </c>
      <c r="C1468" s="110" t="s">
        <v>261</v>
      </c>
      <c r="D1468" s="110" t="s">
        <v>322</v>
      </c>
      <c r="E1468" s="104">
        <v>0.0</v>
      </c>
      <c r="F1468" s="104">
        <v>5.2</v>
      </c>
      <c r="G1468" s="110" t="s">
        <v>3118</v>
      </c>
      <c r="H1468" s="112">
        <v>45995.0</v>
      </c>
      <c r="I1468" s="110" t="s">
        <v>3119</v>
      </c>
      <c r="J1468" s="104">
        <v>0.0</v>
      </c>
      <c r="K1468" s="110" t="s">
        <v>3120</v>
      </c>
      <c r="L1468" s="84"/>
    </row>
    <row r="1469">
      <c r="A1469" s="110" t="s">
        <v>2671</v>
      </c>
      <c r="B1469" s="104">
        <v>0.0</v>
      </c>
      <c r="C1469" s="110" t="s">
        <v>261</v>
      </c>
      <c r="D1469" s="110" t="s">
        <v>210</v>
      </c>
      <c r="E1469" s="104">
        <v>0.0</v>
      </c>
      <c r="F1469" s="104">
        <v>15.5</v>
      </c>
      <c r="G1469" s="110" t="s">
        <v>262</v>
      </c>
      <c r="H1469" s="112">
        <v>45995.0</v>
      </c>
      <c r="I1469" s="110" t="s">
        <v>3121</v>
      </c>
      <c r="J1469" s="104">
        <v>0.0</v>
      </c>
      <c r="K1469" s="110" t="s">
        <v>3122</v>
      </c>
      <c r="L1469" s="84"/>
    </row>
    <row r="1470">
      <c r="A1470" s="110" t="s">
        <v>2674</v>
      </c>
      <c r="B1470" s="104">
        <v>0.0</v>
      </c>
      <c r="C1470" s="110" t="s">
        <v>261</v>
      </c>
      <c r="D1470" s="110" t="s">
        <v>322</v>
      </c>
      <c r="E1470" s="104">
        <v>0.0</v>
      </c>
      <c r="F1470" s="104">
        <v>3.9</v>
      </c>
      <c r="G1470" s="110" t="s">
        <v>1214</v>
      </c>
      <c r="H1470" s="112">
        <v>45995.0</v>
      </c>
      <c r="I1470" s="110" t="s">
        <v>3123</v>
      </c>
      <c r="J1470" s="104">
        <v>0.0</v>
      </c>
      <c r="K1470" s="110" t="s">
        <v>3124</v>
      </c>
      <c r="L1470" s="84"/>
    </row>
    <row r="1471">
      <c r="A1471" s="110" t="s">
        <v>2675</v>
      </c>
      <c r="B1471" s="104">
        <v>0.0</v>
      </c>
      <c r="C1471" s="110" t="s">
        <v>261</v>
      </c>
      <c r="D1471" s="110" t="s">
        <v>210</v>
      </c>
      <c r="E1471" s="104">
        <v>0.0</v>
      </c>
      <c r="F1471" s="104">
        <v>42.0</v>
      </c>
      <c r="G1471" s="110" t="s">
        <v>238</v>
      </c>
      <c r="H1471" s="112">
        <v>45995.0</v>
      </c>
      <c r="I1471" s="110" t="s">
        <v>3125</v>
      </c>
      <c r="J1471" s="104">
        <v>0.0</v>
      </c>
      <c r="K1471" s="110" t="s">
        <v>3126</v>
      </c>
      <c r="L1471" s="84"/>
    </row>
    <row r="1472">
      <c r="A1472" s="110" t="s">
        <v>2676</v>
      </c>
      <c r="B1472" s="104">
        <v>0.0</v>
      </c>
      <c r="C1472" s="110" t="s">
        <v>261</v>
      </c>
      <c r="D1472" s="110" t="s">
        <v>217</v>
      </c>
      <c r="E1472" s="104">
        <v>0.0</v>
      </c>
      <c r="F1472" s="104">
        <v>214.0</v>
      </c>
      <c r="G1472" s="110" t="s">
        <v>238</v>
      </c>
      <c r="H1472" s="112">
        <v>45995.0</v>
      </c>
      <c r="I1472" s="110" t="s">
        <v>3127</v>
      </c>
      <c r="J1472" s="104">
        <v>0.0</v>
      </c>
      <c r="K1472" s="110" t="s">
        <v>3128</v>
      </c>
      <c r="L1472" s="84"/>
    </row>
    <row r="1473">
      <c r="A1473" s="110" t="s">
        <v>2677</v>
      </c>
      <c r="B1473" s="104">
        <v>0.0</v>
      </c>
      <c r="C1473" s="110" t="s">
        <v>261</v>
      </c>
      <c r="D1473" s="110" t="s">
        <v>217</v>
      </c>
      <c r="E1473" s="104">
        <v>0.0</v>
      </c>
      <c r="F1473" s="104">
        <v>49.0</v>
      </c>
      <c r="G1473" s="110" t="s">
        <v>238</v>
      </c>
      <c r="H1473" s="112">
        <v>45995.0</v>
      </c>
      <c r="I1473" s="110" t="s">
        <v>3129</v>
      </c>
      <c r="J1473" s="104">
        <v>0.0</v>
      </c>
      <c r="K1473" s="110" t="s">
        <v>3130</v>
      </c>
      <c r="L1473" s="84"/>
    </row>
    <row r="1474">
      <c r="A1474" s="110" t="s">
        <v>2680</v>
      </c>
      <c r="B1474" s="104">
        <v>0.0</v>
      </c>
      <c r="C1474" s="110" t="s">
        <v>261</v>
      </c>
      <c r="D1474" s="110" t="s">
        <v>217</v>
      </c>
      <c r="E1474" s="104">
        <v>0.0</v>
      </c>
      <c r="F1474" s="104">
        <v>56.0</v>
      </c>
      <c r="G1474" s="110" t="s">
        <v>238</v>
      </c>
      <c r="H1474" s="112">
        <v>45995.0</v>
      </c>
      <c r="I1474" s="110" t="s">
        <v>3131</v>
      </c>
      <c r="J1474" s="104">
        <v>0.0</v>
      </c>
      <c r="K1474" s="110" t="s">
        <v>3132</v>
      </c>
      <c r="L1474" s="84"/>
    </row>
    <row r="1475">
      <c r="A1475" s="110" t="s">
        <v>2681</v>
      </c>
      <c r="B1475" s="104">
        <v>0.0</v>
      </c>
      <c r="C1475" s="110" t="s">
        <v>261</v>
      </c>
      <c r="D1475" s="110" t="s">
        <v>217</v>
      </c>
      <c r="E1475" s="104">
        <v>0.0</v>
      </c>
      <c r="F1475" s="104">
        <v>45.0</v>
      </c>
      <c r="G1475" s="110" t="s">
        <v>238</v>
      </c>
      <c r="H1475" s="112">
        <v>45995.0</v>
      </c>
      <c r="I1475" s="110" t="s">
        <v>3133</v>
      </c>
      <c r="J1475" s="104">
        <v>0.0</v>
      </c>
      <c r="K1475" s="110" t="s">
        <v>3134</v>
      </c>
      <c r="L1475" s="84"/>
    </row>
    <row r="1476">
      <c r="A1476" s="110" t="s">
        <v>2682</v>
      </c>
      <c r="B1476" s="104">
        <v>0.0</v>
      </c>
      <c r="C1476" s="110" t="s">
        <v>231</v>
      </c>
      <c r="D1476" s="110" t="s">
        <v>217</v>
      </c>
      <c r="E1476" s="104">
        <v>0.0</v>
      </c>
      <c r="F1476" s="104">
        <v>270.0</v>
      </c>
      <c r="G1476" s="110" t="s">
        <v>338</v>
      </c>
      <c r="H1476" s="112">
        <v>45995.0</v>
      </c>
      <c r="I1476" s="110" t="s">
        <v>3135</v>
      </c>
      <c r="J1476" s="104">
        <v>0.0</v>
      </c>
      <c r="K1476" s="110" t="s">
        <v>3136</v>
      </c>
      <c r="L1476" s="84"/>
    </row>
    <row r="1477">
      <c r="A1477" s="110" t="s">
        <v>2683</v>
      </c>
      <c r="B1477" s="104">
        <v>0.0</v>
      </c>
      <c r="C1477" s="110" t="s">
        <v>3137</v>
      </c>
      <c r="D1477" s="110" t="s">
        <v>217</v>
      </c>
      <c r="E1477" s="104">
        <v>0.0</v>
      </c>
      <c r="F1477" s="104">
        <v>28.22</v>
      </c>
      <c r="G1477" s="110" t="s">
        <v>3138</v>
      </c>
      <c r="H1477" s="112">
        <v>46001.0</v>
      </c>
      <c r="I1477" s="110" t="s">
        <v>3139</v>
      </c>
      <c r="J1477" s="104">
        <v>0.0</v>
      </c>
      <c r="K1477" s="110" t="s">
        <v>3140</v>
      </c>
      <c r="L1477" s="84"/>
    </row>
    <row r="1478">
      <c r="A1478" s="110" t="s">
        <v>2683</v>
      </c>
      <c r="B1478" s="104">
        <v>0.0</v>
      </c>
      <c r="C1478" s="110" t="s">
        <v>3137</v>
      </c>
      <c r="D1478" s="110" t="s">
        <v>217</v>
      </c>
      <c r="E1478" s="104">
        <v>0.0</v>
      </c>
      <c r="F1478" s="104">
        <v>28.22</v>
      </c>
      <c r="G1478" s="110" t="s">
        <v>3141</v>
      </c>
      <c r="H1478" s="112">
        <v>46001.0</v>
      </c>
      <c r="I1478" s="110" t="s">
        <v>3139</v>
      </c>
      <c r="J1478" s="104">
        <v>0.0</v>
      </c>
      <c r="K1478" s="110" t="s">
        <v>3140</v>
      </c>
      <c r="L1478" s="84"/>
    </row>
    <row r="1479">
      <c r="A1479" s="110" t="s">
        <v>2683</v>
      </c>
      <c r="B1479" s="104">
        <v>0.0</v>
      </c>
      <c r="C1479" s="110" t="s">
        <v>3137</v>
      </c>
      <c r="D1479" s="110" t="s">
        <v>217</v>
      </c>
      <c r="E1479" s="104">
        <v>0.0</v>
      </c>
      <c r="F1479" s="104">
        <v>28.22</v>
      </c>
      <c r="G1479" s="110" t="s">
        <v>3142</v>
      </c>
      <c r="H1479" s="112">
        <v>46001.0</v>
      </c>
      <c r="I1479" s="110" t="s">
        <v>3139</v>
      </c>
      <c r="J1479" s="104">
        <v>0.0</v>
      </c>
      <c r="K1479" s="110" t="s">
        <v>3140</v>
      </c>
      <c r="L1479" s="8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3" t="s">
        <v>192</v>
      </c>
      <c r="B1" s="113" t="s">
        <v>3143</v>
      </c>
      <c r="C1" s="113" t="s">
        <v>3144</v>
      </c>
      <c r="D1" s="113" t="s">
        <v>3145</v>
      </c>
    </row>
    <row r="2">
      <c r="A2" s="114" t="s">
        <v>3146</v>
      </c>
      <c r="B2" s="114" t="s">
        <v>3147</v>
      </c>
      <c r="C2" s="115">
        <v>75.0</v>
      </c>
      <c r="D2" s="116" t="b">
        <v>0</v>
      </c>
    </row>
    <row r="3">
      <c r="A3" s="114" t="s">
        <v>3146</v>
      </c>
      <c r="B3" s="114" t="s">
        <v>3148</v>
      </c>
      <c r="C3" s="115">
        <v>75.0</v>
      </c>
      <c r="D3" s="116" t="b">
        <v>0</v>
      </c>
    </row>
    <row r="4">
      <c r="A4" s="114" t="s">
        <v>3146</v>
      </c>
      <c r="B4" s="114" t="s">
        <v>3149</v>
      </c>
      <c r="C4" s="115">
        <v>280.0</v>
      </c>
      <c r="D4" s="116" t="b">
        <v>0</v>
      </c>
    </row>
    <row r="5">
      <c r="A5" s="114" t="s">
        <v>3146</v>
      </c>
      <c r="B5" s="114" t="s">
        <v>3150</v>
      </c>
      <c r="C5" s="115">
        <v>120.0</v>
      </c>
      <c r="D5" s="116" t="b">
        <v>0</v>
      </c>
    </row>
    <row r="6">
      <c r="A6" s="114" t="s">
        <v>3146</v>
      </c>
      <c r="B6" s="114" t="s">
        <v>3151</v>
      </c>
      <c r="C6" s="115">
        <v>102.0</v>
      </c>
      <c r="D6" s="116" t="b">
        <v>0</v>
      </c>
    </row>
    <row r="7">
      <c r="A7" s="114" t="s">
        <v>3146</v>
      </c>
      <c r="B7" s="114" t="s">
        <v>3152</v>
      </c>
      <c r="C7" s="115">
        <v>75.0</v>
      </c>
      <c r="D7" s="116" t="b">
        <v>0</v>
      </c>
    </row>
    <row r="8">
      <c r="A8" s="114" t="s">
        <v>3146</v>
      </c>
      <c r="B8" s="114" t="s">
        <v>3153</v>
      </c>
      <c r="C8" s="115">
        <v>102.0</v>
      </c>
      <c r="D8" s="116" t="b">
        <v>0</v>
      </c>
    </row>
    <row r="9">
      <c r="A9" s="114" t="s">
        <v>3146</v>
      </c>
      <c r="B9" s="114" t="s">
        <v>3154</v>
      </c>
      <c r="C9" s="115">
        <v>75.0</v>
      </c>
      <c r="D9" s="116" t="b">
        <v>0</v>
      </c>
    </row>
    <row r="10">
      <c r="A10" s="114" t="s">
        <v>3146</v>
      </c>
      <c r="B10" s="114" t="s">
        <v>3155</v>
      </c>
      <c r="C10" s="115">
        <v>102.0</v>
      </c>
      <c r="D10" s="116" t="b">
        <v>0</v>
      </c>
    </row>
    <row r="11">
      <c r="A11" s="114" t="s">
        <v>3146</v>
      </c>
      <c r="B11" s="114" t="s">
        <v>3156</v>
      </c>
      <c r="C11" s="115">
        <v>75.0</v>
      </c>
      <c r="D11" s="116" t="b">
        <v>0</v>
      </c>
    </row>
    <row r="12">
      <c r="A12" s="114" t="s">
        <v>3146</v>
      </c>
      <c r="B12" s="114" t="s">
        <v>3157</v>
      </c>
      <c r="C12" s="115">
        <v>75.0</v>
      </c>
      <c r="D12" s="116" t="b">
        <v>0</v>
      </c>
    </row>
    <row r="13">
      <c r="A13" s="114" t="s">
        <v>3146</v>
      </c>
      <c r="B13" s="114" t="s">
        <v>3158</v>
      </c>
      <c r="C13" s="115">
        <v>75.0</v>
      </c>
      <c r="D13" s="116" t="b">
        <v>0</v>
      </c>
    </row>
    <row r="14">
      <c r="A14" s="114" t="s">
        <v>3146</v>
      </c>
      <c r="B14" s="114" t="s">
        <v>3159</v>
      </c>
      <c r="C14" s="115">
        <v>102.0</v>
      </c>
      <c r="D14" s="116" t="b">
        <v>0</v>
      </c>
    </row>
    <row r="15">
      <c r="A15" s="114" t="s">
        <v>3146</v>
      </c>
      <c r="B15" s="114" t="s">
        <v>3160</v>
      </c>
      <c r="C15" s="115">
        <v>75.0</v>
      </c>
      <c r="D15" s="116" t="b">
        <v>0</v>
      </c>
    </row>
    <row r="16">
      <c r="A16" s="114" t="s">
        <v>3146</v>
      </c>
      <c r="B16" s="114" t="s">
        <v>3161</v>
      </c>
      <c r="C16" s="115">
        <v>75.0</v>
      </c>
      <c r="D16" s="116" t="b">
        <v>0</v>
      </c>
    </row>
    <row r="17">
      <c r="A17" s="114" t="s">
        <v>3146</v>
      </c>
      <c r="B17" s="114" t="s">
        <v>3162</v>
      </c>
      <c r="C17" s="115">
        <v>165.0</v>
      </c>
      <c r="D17" s="116" t="b">
        <v>0</v>
      </c>
    </row>
    <row r="18">
      <c r="A18" s="114" t="s">
        <v>3146</v>
      </c>
      <c r="B18" s="114" t="s">
        <v>3163</v>
      </c>
      <c r="C18" s="115">
        <v>75.0</v>
      </c>
      <c r="D18" s="116" t="b">
        <v>0</v>
      </c>
    </row>
    <row r="19">
      <c r="A19" s="114" t="s">
        <v>3146</v>
      </c>
      <c r="B19" s="114" t="s">
        <v>3164</v>
      </c>
      <c r="C19" s="115">
        <v>165.0</v>
      </c>
      <c r="D19" s="116" t="b">
        <v>0</v>
      </c>
    </row>
    <row r="20">
      <c r="A20" s="114" t="s">
        <v>3146</v>
      </c>
      <c r="B20" s="114" t="s">
        <v>3165</v>
      </c>
      <c r="C20" s="115">
        <v>75.0</v>
      </c>
      <c r="D20" s="116" t="b">
        <v>0</v>
      </c>
    </row>
    <row r="21">
      <c r="A21" s="114" t="s">
        <v>3146</v>
      </c>
      <c r="B21" s="114" t="s">
        <v>3166</v>
      </c>
      <c r="C21" s="115">
        <v>102.0</v>
      </c>
      <c r="D21" s="116" t="b">
        <v>0</v>
      </c>
    </row>
    <row r="22">
      <c r="A22" s="114" t="s">
        <v>3146</v>
      </c>
      <c r="B22" s="114" t="s">
        <v>1268</v>
      </c>
      <c r="C22" s="115">
        <v>102.0</v>
      </c>
      <c r="D22" s="116" t="b">
        <v>0</v>
      </c>
    </row>
    <row r="23">
      <c r="A23" s="114" t="s">
        <v>3146</v>
      </c>
      <c r="B23" s="114" t="s">
        <v>3167</v>
      </c>
      <c r="C23" s="115">
        <v>102.0</v>
      </c>
      <c r="D23" s="116" t="b">
        <v>0</v>
      </c>
    </row>
    <row r="24">
      <c r="A24" s="114" t="s">
        <v>3146</v>
      </c>
      <c r="B24" s="114" t="s">
        <v>3168</v>
      </c>
      <c r="C24" s="115">
        <v>102.0</v>
      </c>
      <c r="D24" s="116" t="b">
        <v>0</v>
      </c>
    </row>
    <row r="25">
      <c r="A25" s="114" t="s">
        <v>3146</v>
      </c>
      <c r="B25" s="114" t="s">
        <v>1299</v>
      </c>
      <c r="C25" s="115">
        <v>102.0</v>
      </c>
      <c r="D25" s="116" t="b">
        <v>0</v>
      </c>
    </row>
    <row r="26">
      <c r="A26" s="114" t="s">
        <v>3146</v>
      </c>
      <c r="B26" s="114" t="s">
        <v>3169</v>
      </c>
      <c r="C26" s="115">
        <v>75.0</v>
      </c>
      <c r="D26" s="116" t="b">
        <v>0</v>
      </c>
    </row>
    <row r="27">
      <c r="A27" s="114" t="s">
        <v>3146</v>
      </c>
      <c r="B27" s="114" t="s">
        <v>3170</v>
      </c>
      <c r="C27" s="115">
        <v>75.0</v>
      </c>
      <c r="D27" s="116" t="b">
        <v>0</v>
      </c>
    </row>
    <row r="28">
      <c r="A28" s="114" t="s">
        <v>3146</v>
      </c>
      <c r="B28" s="114" t="s">
        <v>3171</v>
      </c>
      <c r="C28" s="115">
        <v>75.0</v>
      </c>
      <c r="D28" s="116" t="b">
        <v>0</v>
      </c>
    </row>
    <row r="29">
      <c r="A29" s="114" t="s">
        <v>3146</v>
      </c>
      <c r="B29" s="114" t="s">
        <v>3172</v>
      </c>
      <c r="C29" s="115">
        <v>75.0</v>
      </c>
      <c r="D29" s="116" t="b">
        <v>0</v>
      </c>
    </row>
    <row r="30">
      <c r="A30" s="114" t="s">
        <v>3146</v>
      </c>
      <c r="B30" s="114" t="s">
        <v>3173</v>
      </c>
      <c r="C30" s="115">
        <v>102.0</v>
      </c>
      <c r="D30" s="116" t="b">
        <v>0</v>
      </c>
    </row>
    <row r="31">
      <c r="A31" s="114" t="s">
        <v>3146</v>
      </c>
      <c r="B31" s="114" t="s">
        <v>3174</v>
      </c>
      <c r="C31" s="115">
        <v>102.0</v>
      </c>
      <c r="D31" s="116" t="b">
        <v>0</v>
      </c>
    </row>
    <row r="32">
      <c r="A32" s="114" t="s">
        <v>3146</v>
      </c>
      <c r="B32" s="114" t="s">
        <v>3175</v>
      </c>
      <c r="C32" s="115">
        <v>75.0</v>
      </c>
      <c r="D32" s="116" t="b">
        <v>0</v>
      </c>
    </row>
    <row r="33">
      <c r="A33" s="114" t="s">
        <v>3146</v>
      </c>
      <c r="B33" s="114" t="s">
        <v>3176</v>
      </c>
      <c r="C33" s="115">
        <v>75.0</v>
      </c>
      <c r="D33" s="116" t="b">
        <v>0</v>
      </c>
    </row>
    <row r="34">
      <c r="A34" s="114" t="s">
        <v>3146</v>
      </c>
      <c r="B34" s="114" t="s">
        <v>3177</v>
      </c>
      <c r="C34" s="115">
        <v>102.0</v>
      </c>
      <c r="D34" s="116" t="b">
        <v>0</v>
      </c>
    </row>
    <row r="35">
      <c r="A35" s="114" t="s">
        <v>3146</v>
      </c>
      <c r="B35" s="114" t="s">
        <v>3178</v>
      </c>
      <c r="C35" s="115">
        <v>280.0</v>
      </c>
      <c r="D35" s="116" t="b">
        <v>0</v>
      </c>
    </row>
    <row r="36">
      <c r="A36" s="114" t="s">
        <v>3146</v>
      </c>
      <c r="B36" s="114" t="s">
        <v>3179</v>
      </c>
      <c r="C36" s="115">
        <v>280.0</v>
      </c>
      <c r="D36" s="116" t="b">
        <v>0</v>
      </c>
    </row>
    <row r="37">
      <c r="A37" s="114" t="s">
        <v>3146</v>
      </c>
      <c r="B37" s="114" t="s">
        <v>3180</v>
      </c>
      <c r="C37" s="115">
        <v>75.0</v>
      </c>
      <c r="D37" s="116" t="b">
        <v>0</v>
      </c>
    </row>
    <row r="38">
      <c r="A38" s="114" t="s">
        <v>3146</v>
      </c>
      <c r="B38" s="114" t="s">
        <v>3181</v>
      </c>
      <c r="C38" s="115">
        <v>75.0</v>
      </c>
      <c r="D38" s="116" t="b">
        <v>0</v>
      </c>
    </row>
    <row r="39">
      <c r="A39" s="114" t="s">
        <v>3182</v>
      </c>
      <c r="B39" s="114" t="s">
        <v>3183</v>
      </c>
      <c r="C39" s="115">
        <v>162.0</v>
      </c>
      <c r="D39" s="116" t="b">
        <v>0</v>
      </c>
    </row>
    <row r="40">
      <c r="A40" s="114" t="s">
        <v>3182</v>
      </c>
      <c r="B40" s="114" t="s">
        <v>3184</v>
      </c>
      <c r="C40" s="115">
        <v>115.0</v>
      </c>
      <c r="D40" s="116" t="b">
        <v>0</v>
      </c>
    </row>
    <row r="41">
      <c r="A41" s="114" t="s">
        <v>3182</v>
      </c>
      <c r="B41" s="114" t="s">
        <v>3185</v>
      </c>
      <c r="C41" s="115">
        <v>120.0</v>
      </c>
      <c r="D41" s="116" t="b">
        <v>0</v>
      </c>
    </row>
    <row r="42">
      <c r="A42" s="114" t="s">
        <v>3182</v>
      </c>
      <c r="B42" s="114" t="s">
        <v>3186</v>
      </c>
      <c r="C42" s="115">
        <v>140.0</v>
      </c>
      <c r="D42" s="116" t="b">
        <v>0</v>
      </c>
    </row>
    <row r="43">
      <c r="A43" s="114" t="s">
        <v>3182</v>
      </c>
      <c r="B43" s="114" t="s">
        <v>3187</v>
      </c>
      <c r="C43" s="115">
        <v>180.0</v>
      </c>
      <c r="D43" s="116" t="b">
        <v>0</v>
      </c>
    </row>
    <row r="44">
      <c r="A44" s="114" t="s">
        <v>3182</v>
      </c>
      <c r="B44" s="114" t="s">
        <v>3188</v>
      </c>
      <c r="C44" s="115">
        <v>180.0</v>
      </c>
      <c r="D44" s="116" t="b">
        <v>0</v>
      </c>
    </row>
    <row r="45">
      <c r="A45" s="114" t="s">
        <v>3182</v>
      </c>
      <c r="B45" s="114" t="s">
        <v>3189</v>
      </c>
      <c r="C45" s="115">
        <v>180.0</v>
      </c>
      <c r="D45" s="116" t="b">
        <v>0</v>
      </c>
    </row>
    <row r="46">
      <c r="A46" s="114" t="s">
        <v>3182</v>
      </c>
      <c r="B46" s="114" t="s">
        <v>3190</v>
      </c>
      <c r="C46" s="115">
        <v>180.0</v>
      </c>
      <c r="D46" s="116" t="b">
        <v>0</v>
      </c>
    </row>
    <row r="47">
      <c r="A47" s="114" t="s">
        <v>3182</v>
      </c>
      <c r="B47" s="114" t="s">
        <v>3191</v>
      </c>
      <c r="C47" s="115">
        <v>180.0</v>
      </c>
      <c r="D47" s="116" t="b">
        <v>0</v>
      </c>
    </row>
    <row r="48">
      <c r="A48" s="114" t="s">
        <v>3182</v>
      </c>
      <c r="B48" s="114" t="s">
        <v>3192</v>
      </c>
      <c r="C48" s="115">
        <v>180.0</v>
      </c>
      <c r="D48" s="116" t="b">
        <v>0</v>
      </c>
    </row>
    <row r="49">
      <c r="A49" s="114" t="s">
        <v>3182</v>
      </c>
      <c r="B49" s="114" t="s">
        <v>3193</v>
      </c>
      <c r="C49" s="115">
        <v>180.0</v>
      </c>
      <c r="D49" s="116" t="b">
        <v>0</v>
      </c>
    </row>
    <row r="50">
      <c r="A50" s="114" t="s">
        <v>3182</v>
      </c>
      <c r="B50" s="114" t="s">
        <v>3194</v>
      </c>
      <c r="C50" s="115">
        <v>102.0</v>
      </c>
      <c r="D50" s="116" t="b">
        <v>0</v>
      </c>
    </row>
    <row r="51">
      <c r="A51" s="114" t="s">
        <v>3182</v>
      </c>
      <c r="B51" s="114" t="s">
        <v>1326</v>
      </c>
      <c r="C51" s="115">
        <v>102.0</v>
      </c>
      <c r="D51" s="116" t="b">
        <v>0</v>
      </c>
    </row>
    <row r="52">
      <c r="A52" s="114" t="s">
        <v>3182</v>
      </c>
      <c r="B52" s="114" t="s">
        <v>1338</v>
      </c>
      <c r="C52" s="115">
        <v>102.0</v>
      </c>
      <c r="D52" s="116" t="b">
        <v>0</v>
      </c>
    </row>
    <row r="53">
      <c r="A53" s="114" t="s">
        <v>3182</v>
      </c>
      <c r="B53" s="114" t="s">
        <v>1341</v>
      </c>
      <c r="C53" s="115">
        <v>102.0</v>
      </c>
      <c r="D53" s="116" t="b">
        <v>0</v>
      </c>
    </row>
    <row r="54">
      <c r="A54" s="114" t="s">
        <v>3182</v>
      </c>
      <c r="B54" s="114" t="s">
        <v>1375</v>
      </c>
      <c r="C54" s="115">
        <v>102.0</v>
      </c>
      <c r="D54" s="116" t="b">
        <v>0</v>
      </c>
    </row>
    <row r="55">
      <c r="A55" s="114" t="s">
        <v>3182</v>
      </c>
      <c r="B55" s="114" t="s">
        <v>1379</v>
      </c>
      <c r="C55" s="115">
        <v>102.0</v>
      </c>
      <c r="D55" s="116" t="b">
        <v>0</v>
      </c>
    </row>
    <row r="56">
      <c r="A56" s="114" t="s">
        <v>3182</v>
      </c>
      <c r="B56" s="114" t="s">
        <v>1404</v>
      </c>
      <c r="C56" s="115">
        <v>102.0</v>
      </c>
      <c r="D56" s="116" t="b">
        <v>0</v>
      </c>
    </row>
    <row r="57">
      <c r="A57" s="114" t="s">
        <v>3182</v>
      </c>
      <c r="B57" s="114" t="s">
        <v>3195</v>
      </c>
      <c r="C57" s="115">
        <v>102.0</v>
      </c>
      <c r="D57" s="116" t="b">
        <v>0</v>
      </c>
    </row>
    <row r="58">
      <c r="A58" s="114" t="s">
        <v>3182</v>
      </c>
      <c r="B58" s="114" t="s">
        <v>1414</v>
      </c>
      <c r="C58" s="115">
        <v>102.0</v>
      </c>
      <c r="D58" s="116" t="b">
        <v>0</v>
      </c>
    </row>
    <row r="59">
      <c r="A59" s="114" t="s">
        <v>3182</v>
      </c>
      <c r="B59" s="114" t="s">
        <v>3196</v>
      </c>
      <c r="C59" s="115">
        <v>102.0</v>
      </c>
      <c r="D59" s="116" t="b">
        <v>0</v>
      </c>
    </row>
    <row r="60">
      <c r="A60" s="114" t="s">
        <v>3182</v>
      </c>
      <c r="B60" s="114" t="s">
        <v>3197</v>
      </c>
      <c r="C60" s="115">
        <v>102.0</v>
      </c>
      <c r="D60" s="116" t="b">
        <v>0</v>
      </c>
    </row>
    <row r="61">
      <c r="A61" s="114" t="s">
        <v>3182</v>
      </c>
      <c r="B61" s="114" t="s">
        <v>3198</v>
      </c>
      <c r="C61" s="115">
        <v>102.0</v>
      </c>
      <c r="D61" s="116" t="b">
        <v>0</v>
      </c>
    </row>
    <row r="62">
      <c r="A62" s="114" t="s">
        <v>3182</v>
      </c>
      <c r="B62" s="114" t="s">
        <v>1427</v>
      </c>
      <c r="C62" s="115">
        <v>102.0</v>
      </c>
      <c r="D62" s="116" t="b">
        <v>0</v>
      </c>
    </row>
    <row r="63">
      <c r="A63" s="114" t="s">
        <v>3182</v>
      </c>
      <c r="B63" s="114" t="s">
        <v>1434</v>
      </c>
      <c r="C63" s="115">
        <v>102.0</v>
      </c>
      <c r="D63" s="116" t="b">
        <v>0</v>
      </c>
    </row>
    <row r="64">
      <c r="A64" s="114" t="s">
        <v>3182</v>
      </c>
      <c r="B64" s="114" t="s">
        <v>1444</v>
      </c>
      <c r="C64" s="115">
        <v>102.0</v>
      </c>
      <c r="D64" s="116" t="b">
        <v>0</v>
      </c>
    </row>
    <row r="65">
      <c r="A65" s="114" t="s">
        <v>3182</v>
      </c>
      <c r="B65" s="114" t="s">
        <v>1446</v>
      </c>
      <c r="C65" s="115">
        <v>102.0</v>
      </c>
      <c r="D65" s="116" t="b">
        <v>0</v>
      </c>
    </row>
    <row r="66">
      <c r="A66" s="114" t="s">
        <v>3182</v>
      </c>
      <c r="B66" s="114" t="s">
        <v>3199</v>
      </c>
      <c r="C66" s="115">
        <v>200.0</v>
      </c>
      <c r="D66" s="116" t="b">
        <v>0</v>
      </c>
    </row>
    <row r="67">
      <c r="A67" s="114" t="s">
        <v>3182</v>
      </c>
      <c r="B67" s="114" t="s">
        <v>3200</v>
      </c>
      <c r="C67" s="115">
        <v>122.0</v>
      </c>
      <c r="D67" s="116" t="b">
        <v>0</v>
      </c>
    </row>
    <row r="68">
      <c r="A68" s="114" t="s">
        <v>3182</v>
      </c>
      <c r="B68" s="114" t="s">
        <v>3201</v>
      </c>
      <c r="C68" s="115">
        <v>102.0</v>
      </c>
      <c r="D68" s="116" t="b">
        <v>0</v>
      </c>
    </row>
    <row r="69">
      <c r="A69" s="114" t="s">
        <v>3182</v>
      </c>
      <c r="B69" s="114" t="s">
        <v>3202</v>
      </c>
      <c r="C69" s="115">
        <v>102.0</v>
      </c>
      <c r="D69" s="116" t="b">
        <v>0</v>
      </c>
    </row>
    <row r="70">
      <c r="A70" s="114" t="s">
        <v>3182</v>
      </c>
      <c r="B70" s="114" t="s">
        <v>2391</v>
      </c>
      <c r="C70" s="115">
        <v>150.0</v>
      </c>
      <c r="D70" s="116" t="b">
        <v>0</v>
      </c>
    </row>
    <row r="71">
      <c r="A71" s="114" t="s">
        <v>3182</v>
      </c>
      <c r="B71" s="114" t="s">
        <v>3203</v>
      </c>
      <c r="C71" s="115">
        <v>102.0</v>
      </c>
      <c r="D71" s="116" t="b">
        <v>0</v>
      </c>
    </row>
    <row r="72">
      <c r="A72" s="114" t="s">
        <v>3204</v>
      </c>
      <c r="B72" s="114" t="s">
        <v>3205</v>
      </c>
      <c r="C72" s="115">
        <v>150.0</v>
      </c>
      <c r="D72" s="116" t="b">
        <v>0</v>
      </c>
    </row>
    <row r="73">
      <c r="A73" s="114" t="s">
        <v>3204</v>
      </c>
      <c r="B73" s="114" t="s">
        <v>3206</v>
      </c>
      <c r="C73" s="115">
        <v>180.0</v>
      </c>
      <c r="D73" s="116" t="b">
        <v>0</v>
      </c>
    </row>
    <row r="74">
      <c r="A74" s="114" t="s">
        <v>3204</v>
      </c>
      <c r="B74" s="114" t="s">
        <v>3207</v>
      </c>
      <c r="C74" s="115">
        <v>150.0</v>
      </c>
      <c r="D74" s="116" t="b">
        <v>0</v>
      </c>
    </row>
    <row r="75">
      <c r="A75" s="114" t="s">
        <v>3204</v>
      </c>
      <c r="B75" s="114" t="s">
        <v>3208</v>
      </c>
      <c r="C75" s="115">
        <v>160.0</v>
      </c>
      <c r="D75" s="116" t="b">
        <v>0</v>
      </c>
    </row>
    <row r="76">
      <c r="A76" s="114" t="s">
        <v>3204</v>
      </c>
      <c r="B76" s="114" t="s">
        <v>3209</v>
      </c>
      <c r="C76" s="115">
        <v>125.0</v>
      </c>
      <c r="D76" s="116" t="b">
        <v>0</v>
      </c>
    </row>
    <row r="77">
      <c r="A77" s="114" t="s">
        <v>3204</v>
      </c>
      <c r="B77" s="114" t="s">
        <v>3210</v>
      </c>
      <c r="C77" s="115">
        <v>160.0</v>
      </c>
      <c r="D77" s="116" t="b">
        <v>0</v>
      </c>
    </row>
    <row r="78">
      <c r="A78" s="114" t="s">
        <v>3204</v>
      </c>
      <c r="B78" s="114" t="s">
        <v>3211</v>
      </c>
      <c r="C78" s="115">
        <v>225.0</v>
      </c>
      <c r="D78" s="116" t="b">
        <v>0</v>
      </c>
    </row>
    <row r="79">
      <c r="A79" s="114" t="s">
        <v>3204</v>
      </c>
      <c r="B79" s="114" t="s">
        <v>3212</v>
      </c>
      <c r="C79" s="115">
        <v>160.0</v>
      </c>
      <c r="D79" s="116" t="b">
        <v>0</v>
      </c>
    </row>
    <row r="80">
      <c r="A80" s="114" t="s">
        <v>3204</v>
      </c>
      <c r="B80" s="114" t="s">
        <v>3213</v>
      </c>
      <c r="C80" s="115">
        <v>180.0</v>
      </c>
      <c r="D80" s="116" t="b">
        <v>0</v>
      </c>
    </row>
    <row r="81">
      <c r="A81" s="114" t="s">
        <v>3204</v>
      </c>
      <c r="B81" s="114" t="s">
        <v>3214</v>
      </c>
      <c r="C81" s="115">
        <v>105.0</v>
      </c>
      <c r="D81" s="116" t="b">
        <v>0</v>
      </c>
    </row>
    <row r="82">
      <c r="A82" s="114" t="s">
        <v>3204</v>
      </c>
      <c r="B82" s="114" t="s">
        <v>3215</v>
      </c>
      <c r="C82" s="115">
        <v>125.0</v>
      </c>
      <c r="D82" s="116" t="b">
        <v>0</v>
      </c>
    </row>
    <row r="83">
      <c r="A83" s="114" t="s">
        <v>3204</v>
      </c>
      <c r="B83" s="114" t="s">
        <v>3216</v>
      </c>
      <c r="C83" s="115">
        <v>138.0</v>
      </c>
      <c r="D83" s="116" t="b">
        <v>0</v>
      </c>
    </row>
    <row r="84">
      <c r="A84" s="114" t="s">
        <v>3204</v>
      </c>
      <c r="B84" s="114" t="s">
        <v>3217</v>
      </c>
      <c r="C84" s="115">
        <v>155.0</v>
      </c>
      <c r="D84" s="116" t="b">
        <v>0</v>
      </c>
    </row>
    <row r="85">
      <c r="A85" s="114" t="s">
        <v>3204</v>
      </c>
      <c r="B85" s="114" t="s">
        <v>3218</v>
      </c>
      <c r="C85" s="115">
        <v>125.0</v>
      </c>
      <c r="D85" s="116" t="b">
        <v>0</v>
      </c>
    </row>
    <row r="86">
      <c r="A86" s="114" t="s">
        <v>3204</v>
      </c>
      <c r="B86" s="114" t="s">
        <v>3219</v>
      </c>
      <c r="C86" s="115">
        <v>105.0</v>
      </c>
      <c r="D86" s="116" t="b">
        <v>0</v>
      </c>
    </row>
    <row r="87">
      <c r="A87" s="114" t="s">
        <v>3204</v>
      </c>
      <c r="B87" s="114" t="s">
        <v>3220</v>
      </c>
      <c r="C87" s="115">
        <v>150.0</v>
      </c>
      <c r="D87" s="116" t="b">
        <v>0</v>
      </c>
    </row>
    <row r="88">
      <c r="A88" s="114" t="s">
        <v>3204</v>
      </c>
      <c r="B88" s="114" t="s">
        <v>3221</v>
      </c>
      <c r="C88" s="115">
        <v>105.0</v>
      </c>
      <c r="D88" s="116" t="b">
        <v>0</v>
      </c>
    </row>
    <row r="89">
      <c r="A89" s="114" t="s">
        <v>3204</v>
      </c>
      <c r="B89" s="114" t="s">
        <v>3222</v>
      </c>
      <c r="C89" s="115">
        <v>150.0</v>
      </c>
      <c r="D89" s="116" t="b">
        <v>0</v>
      </c>
    </row>
    <row r="90">
      <c r="A90" s="114" t="s">
        <v>3204</v>
      </c>
      <c r="B90" s="114" t="s">
        <v>3223</v>
      </c>
      <c r="C90" s="115">
        <v>125.0</v>
      </c>
      <c r="D90" s="116" t="b">
        <v>0</v>
      </c>
    </row>
    <row r="91">
      <c r="A91" s="114" t="s">
        <v>3204</v>
      </c>
      <c r="B91" s="114" t="s">
        <v>3224</v>
      </c>
      <c r="C91" s="115">
        <v>125.0</v>
      </c>
      <c r="D91" s="116" t="b">
        <v>0</v>
      </c>
    </row>
    <row r="92">
      <c r="A92" s="114" t="s">
        <v>3204</v>
      </c>
      <c r="B92" s="114" t="s">
        <v>3225</v>
      </c>
      <c r="C92" s="115">
        <v>130.0</v>
      </c>
      <c r="D92" s="116" t="b">
        <v>0</v>
      </c>
    </row>
    <row r="93">
      <c r="A93" s="114" t="s">
        <v>3204</v>
      </c>
      <c r="B93" s="114" t="s">
        <v>3226</v>
      </c>
      <c r="C93" s="115">
        <v>230.0</v>
      </c>
      <c r="D93" s="116" t="b">
        <v>0</v>
      </c>
    </row>
    <row r="94">
      <c r="A94" s="114" t="s">
        <v>3204</v>
      </c>
      <c r="B94" s="114" t="s">
        <v>3227</v>
      </c>
      <c r="C94" s="115">
        <v>105.0</v>
      </c>
      <c r="D94" s="116" t="b">
        <v>0</v>
      </c>
    </row>
    <row r="95">
      <c r="A95" s="114" t="s">
        <v>3204</v>
      </c>
      <c r="B95" s="114" t="s">
        <v>3228</v>
      </c>
      <c r="C95" s="115">
        <v>130.0</v>
      </c>
      <c r="D95" s="116" t="b">
        <v>0</v>
      </c>
    </row>
    <row r="96">
      <c r="A96" s="114" t="s">
        <v>3204</v>
      </c>
      <c r="B96" s="114" t="s">
        <v>3229</v>
      </c>
      <c r="C96" s="115">
        <v>135.0</v>
      </c>
      <c r="D96" s="116" t="b">
        <v>0</v>
      </c>
    </row>
    <row r="97">
      <c r="A97" s="114" t="s">
        <v>3204</v>
      </c>
      <c r="B97" s="114" t="s">
        <v>3230</v>
      </c>
      <c r="C97" s="115">
        <v>140.0</v>
      </c>
      <c r="D97" s="116" t="b">
        <v>0</v>
      </c>
    </row>
    <row r="98">
      <c r="A98" s="114" t="s">
        <v>3204</v>
      </c>
      <c r="B98" s="114" t="s">
        <v>3231</v>
      </c>
      <c r="C98" s="115">
        <v>125.0</v>
      </c>
      <c r="D98" s="116" t="b">
        <v>0</v>
      </c>
    </row>
    <row r="99">
      <c r="A99" s="114" t="s">
        <v>3204</v>
      </c>
      <c r="B99" s="114" t="s">
        <v>3232</v>
      </c>
      <c r="C99" s="115">
        <v>125.0</v>
      </c>
      <c r="D99" s="116" t="b">
        <v>0</v>
      </c>
    </row>
    <row r="100">
      <c r="A100" s="114" t="s">
        <v>3204</v>
      </c>
      <c r="B100" s="114" t="s">
        <v>3232</v>
      </c>
      <c r="C100" s="115">
        <v>130.0</v>
      </c>
      <c r="D100" s="116" t="b">
        <v>0</v>
      </c>
    </row>
    <row r="101">
      <c r="A101" s="114" t="s">
        <v>3204</v>
      </c>
      <c r="B101" s="114" t="s">
        <v>3233</v>
      </c>
      <c r="C101" s="115">
        <v>275.0</v>
      </c>
      <c r="D101" s="116" t="b">
        <v>0</v>
      </c>
    </row>
    <row r="102">
      <c r="A102" s="114" t="s">
        <v>3204</v>
      </c>
      <c r="B102" s="114" t="s">
        <v>3234</v>
      </c>
      <c r="C102" s="115">
        <v>150.0</v>
      </c>
      <c r="D102" s="116" t="b">
        <v>0</v>
      </c>
    </row>
    <row r="103">
      <c r="A103" s="114" t="s">
        <v>3204</v>
      </c>
      <c r="B103" s="114" t="s">
        <v>3235</v>
      </c>
      <c r="C103" s="115">
        <v>150.0</v>
      </c>
      <c r="D103" s="116" t="b">
        <v>0</v>
      </c>
    </row>
    <row r="104">
      <c r="A104" s="114" t="s">
        <v>3204</v>
      </c>
      <c r="B104" s="114" t="s">
        <v>3236</v>
      </c>
      <c r="C104" s="115">
        <v>105.0</v>
      </c>
      <c r="D104" s="116" t="b">
        <v>0</v>
      </c>
    </row>
    <row r="105">
      <c r="A105" s="114" t="s">
        <v>3204</v>
      </c>
      <c r="B105" s="114" t="s">
        <v>3237</v>
      </c>
      <c r="C105" s="115">
        <v>150.0</v>
      </c>
      <c r="D105" s="116" t="b">
        <v>0</v>
      </c>
    </row>
    <row r="106">
      <c r="A106" s="114" t="s">
        <v>3204</v>
      </c>
      <c r="B106" s="114" t="s">
        <v>3238</v>
      </c>
      <c r="C106" s="115">
        <v>125.0</v>
      </c>
      <c r="D106" s="116" t="b">
        <v>0</v>
      </c>
    </row>
    <row r="107">
      <c r="A107" s="114" t="s">
        <v>3204</v>
      </c>
      <c r="B107" s="114" t="s">
        <v>3238</v>
      </c>
      <c r="C107" s="115">
        <v>140.0</v>
      </c>
      <c r="D107" s="116" t="b">
        <v>0</v>
      </c>
    </row>
    <row r="108">
      <c r="A108" s="114" t="s">
        <v>3204</v>
      </c>
      <c r="B108" s="114" t="s">
        <v>1539</v>
      </c>
      <c r="C108" s="115">
        <v>125.0</v>
      </c>
      <c r="D108" s="116" t="b">
        <v>0</v>
      </c>
    </row>
    <row r="109">
      <c r="A109" s="114" t="s">
        <v>3204</v>
      </c>
      <c r="B109" s="114" t="s">
        <v>3239</v>
      </c>
      <c r="C109" s="115">
        <v>150.0</v>
      </c>
      <c r="D109" s="116" t="b">
        <v>0</v>
      </c>
    </row>
    <row r="110">
      <c r="A110" s="114" t="s">
        <v>3204</v>
      </c>
      <c r="B110" s="114" t="s">
        <v>3240</v>
      </c>
      <c r="C110" s="115">
        <v>130.0</v>
      </c>
      <c r="D110" s="116" t="b">
        <v>0</v>
      </c>
    </row>
    <row r="111">
      <c r="A111" s="114" t="s">
        <v>3204</v>
      </c>
      <c r="B111" s="114" t="s">
        <v>3241</v>
      </c>
      <c r="C111" s="115">
        <v>150.0</v>
      </c>
      <c r="D111" s="116" t="b">
        <v>0</v>
      </c>
    </row>
    <row r="112">
      <c r="A112" s="114" t="s">
        <v>3204</v>
      </c>
      <c r="B112" s="114" t="s">
        <v>3242</v>
      </c>
      <c r="C112" s="115">
        <v>105.0</v>
      </c>
      <c r="D112" s="116" t="b">
        <v>0</v>
      </c>
    </row>
    <row r="113">
      <c r="A113" s="114" t="s">
        <v>3204</v>
      </c>
      <c r="B113" s="114" t="s">
        <v>3243</v>
      </c>
      <c r="C113" s="115">
        <v>105.0</v>
      </c>
      <c r="D113" s="116" t="b">
        <v>0</v>
      </c>
    </row>
    <row r="114">
      <c r="A114" s="114" t="s">
        <v>3204</v>
      </c>
      <c r="B114" s="114" t="s">
        <v>3244</v>
      </c>
      <c r="C114" s="115">
        <v>105.0</v>
      </c>
      <c r="D114" s="116" t="b">
        <v>0</v>
      </c>
    </row>
    <row r="115">
      <c r="A115" s="114" t="s">
        <v>3204</v>
      </c>
      <c r="B115" s="114" t="s">
        <v>3245</v>
      </c>
      <c r="C115" s="115">
        <v>125.0</v>
      </c>
      <c r="D115" s="116" t="b">
        <v>0</v>
      </c>
    </row>
    <row r="116">
      <c r="A116" s="114" t="s">
        <v>3204</v>
      </c>
      <c r="B116" s="114" t="s">
        <v>3246</v>
      </c>
      <c r="C116" s="115">
        <v>150.0</v>
      </c>
      <c r="D116" s="116" t="b">
        <v>0</v>
      </c>
    </row>
    <row r="117">
      <c r="A117" s="114" t="s">
        <v>3204</v>
      </c>
      <c r="B117" s="114" t="s">
        <v>3247</v>
      </c>
      <c r="C117" s="115">
        <v>105.0</v>
      </c>
      <c r="D117" s="116" t="b">
        <v>0</v>
      </c>
    </row>
    <row r="118">
      <c r="A118" s="114" t="s">
        <v>3204</v>
      </c>
      <c r="B118" s="114" t="s">
        <v>3248</v>
      </c>
      <c r="C118" s="115">
        <v>150.0</v>
      </c>
      <c r="D118" s="116" t="b">
        <v>0</v>
      </c>
    </row>
    <row r="119">
      <c r="A119" s="114" t="s">
        <v>3204</v>
      </c>
      <c r="B119" s="114" t="s">
        <v>3249</v>
      </c>
      <c r="C119" s="115">
        <v>500.0</v>
      </c>
      <c r="D119" s="116" t="b">
        <v>0</v>
      </c>
    </row>
    <row r="120">
      <c r="A120" s="114" t="s">
        <v>3204</v>
      </c>
      <c r="B120" s="114" t="s">
        <v>3250</v>
      </c>
      <c r="C120" s="115">
        <v>125.0</v>
      </c>
      <c r="D120" s="116" t="b">
        <v>0</v>
      </c>
    </row>
    <row r="121">
      <c r="A121" s="114" t="s">
        <v>3204</v>
      </c>
      <c r="B121" s="114" t="s">
        <v>3251</v>
      </c>
      <c r="C121" s="115">
        <v>105.0</v>
      </c>
      <c r="D121" s="116" t="b">
        <v>0</v>
      </c>
    </row>
    <row r="122">
      <c r="A122" s="114" t="s">
        <v>3204</v>
      </c>
      <c r="B122" s="114" t="s">
        <v>3252</v>
      </c>
      <c r="C122" s="115">
        <v>105.0</v>
      </c>
      <c r="D122" s="116" t="b">
        <v>0</v>
      </c>
    </row>
    <row r="123">
      <c r="A123" s="114" t="s">
        <v>3204</v>
      </c>
      <c r="B123" s="114" t="s">
        <v>3253</v>
      </c>
      <c r="C123" s="115">
        <v>150.0</v>
      </c>
      <c r="D123" s="116" t="b">
        <v>0</v>
      </c>
    </row>
    <row r="124">
      <c r="A124" s="114" t="s">
        <v>3204</v>
      </c>
      <c r="B124" s="114" t="s">
        <v>3254</v>
      </c>
      <c r="C124" s="115">
        <v>105.0</v>
      </c>
      <c r="D124" s="116" t="b">
        <v>0</v>
      </c>
    </row>
    <row r="125">
      <c r="A125" s="114" t="s">
        <v>3204</v>
      </c>
      <c r="B125" s="114" t="s">
        <v>3255</v>
      </c>
      <c r="C125" s="115">
        <v>105.0</v>
      </c>
      <c r="D125" s="116" t="b">
        <v>0</v>
      </c>
    </row>
    <row r="126">
      <c r="A126" s="114" t="s">
        <v>3204</v>
      </c>
      <c r="B126" s="114" t="s">
        <v>2126</v>
      </c>
      <c r="C126" s="115">
        <v>155.0</v>
      </c>
      <c r="D126" s="116" t="b">
        <v>0</v>
      </c>
    </row>
    <row r="127">
      <c r="A127" s="114" t="s">
        <v>3204</v>
      </c>
      <c r="B127" s="114" t="s">
        <v>3256</v>
      </c>
      <c r="C127" s="115">
        <v>150.0</v>
      </c>
      <c r="D127" s="116" t="b">
        <v>0</v>
      </c>
    </row>
    <row r="128">
      <c r="A128" s="114" t="s">
        <v>3204</v>
      </c>
      <c r="B128" s="114" t="s">
        <v>3257</v>
      </c>
      <c r="C128" s="115">
        <v>160.0</v>
      </c>
      <c r="D128" s="116" t="b">
        <v>0</v>
      </c>
    </row>
    <row r="129">
      <c r="A129" s="114" t="s">
        <v>3204</v>
      </c>
      <c r="B129" s="114" t="s">
        <v>3258</v>
      </c>
      <c r="C129" s="115">
        <v>130.0</v>
      </c>
      <c r="D129" s="116" t="b">
        <v>0</v>
      </c>
    </row>
    <row r="130">
      <c r="A130" s="114" t="s">
        <v>3204</v>
      </c>
      <c r="B130" s="114" t="s">
        <v>2348</v>
      </c>
      <c r="C130" s="115">
        <v>125.0</v>
      </c>
      <c r="D130" s="116" t="b">
        <v>0</v>
      </c>
    </row>
    <row r="131">
      <c r="A131" s="114" t="s">
        <v>3204</v>
      </c>
      <c r="B131" s="114" t="s">
        <v>3259</v>
      </c>
      <c r="C131" s="115">
        <v>150.0</v>
      </c>
      <c r="D131" s="116" t="b">
        <v>0</v>
      </c>
    </row>
    <row r="132">
      <c r="A132" s="114" t="s">
        <v>3204</v>
      </c>
      <c r="B132" s="114" t="s">
        <v>3260</v>
      </c>
      <c r="C132" s="115">
        <v>110.0</v>
      </c>
      <c r="D132" s="116" t="b">
        <v>0</v>
      </c>
    </row>
    <row r="133">
      <c r="A133" s="114" t="s">
        <v>3204</v>
      </c>
      <c r="B133" s="114" t="s">
        <v>2367</v>
      </c>
      <c r="C133" s="115">
        <v>110.0</v>
      </c>
      <c r="D133" s="116" t="b">
        <v>0</v>
      </c>
    </row>
    <row r="134">
      <c r="A134" s="114" t="s">
        <v>3204</v>
      </c>
      <c r="B134" s="114" t="s">
        <v>3261</v>
      </c>
      <c r="C134" s="115">
        <v>105.0</v>
      </c>
      <c r="D134" s="116" t="b">
        <v>0</v>
      </c>
    </row>
    <row r="135">
      <c r="A135" s="114" t="s">
        <v>3204</v>
      </c>
      <c r="B135" s="114" t="s">
        <v>3262</v>
      </c>
      <c r="C135" s="115">
        <v>150.0</v>
      </c>
      <c r="D135" s="116" t="b">
        <v>0</v>
      </c>
    </row>
    <row r="136">
      <c r="A136" s="114" t="s">
        <v>3204</v>
      </c>
      <c r="B136" s="114" t="s">
        <v>3263</v>
      </c>
      <c r="C136" s="115">
        <v>160.0</v>
      </c>
      <c r="D136" s="116" t="b">
        <v>0</v>
      </c>
    </row>
    <row r="137">
      <c r="A137" s="114" t="s">
        <v>3204</v>
      </c>
      <c r="B137" s="114" t="s">
        <v>3264</v>
      </c>
      <c r="C137" s="115">
        <v>155.0</v>
      </c>
      <c r="D137" s="116" t="b">
        <v>0</v>
      </c>
    </row>
    <row r="138">
      <c r="A138" s="114" t="s">
        <v>3204</v>
      </c>
      <c r="B138" s="114" t="s">
        <v>3265</v>
      </c>
      <c r="C138" s="115">
        <v>175.0</v>
      </c>
      <c r="D138" s="116" t="b">
        <v>0</v>
      </c>
    </row>
    <row r="139">
      <c r="A139" s="114" t="s">
        <v>3204</v>
      </c>
      <c r="B139" s="114" t="s">
        <v>3266</v>
      </c>
      <c r="C139" s="115">
        <v>140.0</v>
      </c>
      <c r="D139" s="116" t="b">
        <v>0</v>
      </c>
    </row>
    <row r="140">
      <c r="A140" s="114" t="s">
        <v>3204</v>
      </c>
      <c r="B140" s="114" t="s">
        <v>3267</v>
      </c>
      <c r="C140" s="115">
        <v>125.0</v>
      </c>
      <c r="D140" s="116" t="b">
        <v>0</v>
      </c>
    </row>
    <row r="141">
      <c r="A141" s="114" t="s">
        <v>3204</v>
      </c>
      <c r="B141" s="114" t="s">
        <v>3268</v>
      </c>
      <c r="C141" s="115">
        <v>125.0</v>
      </c>
      <c r="D141" s="116" t="b">
        <v>0</v>
      </c>
    </row>
    <row r="142">
      <c r="A142" s="114" t="s">
        <v>3204</v>
      </c>
      <c r="B142" s="114" t="s">
        <v>3269</v>
      </c>
      <c r="C142" s="115">
        <v>125.0</v>
      </c>
      <c r="D142" s="116" t="b">
        <v>0</v>
      </c>
    </row>
    <row r="143">
      <c r="A143" s="114" t="s">
        <v>3204</v>
      </c>
      <c r="B143" s="114" t="s">
        <v>3270</v>
      </c>
      <c r="C143" s="115">
        <v>125.0</v>
      </c>
      <c r="D143" s="116" t="b">
        <v>0</v>
      </c>
    </row>
    <row r="144">
      <c r="A144" s="114" t="s">
        <v>3204</v>
      </c>
      <c r="B144" s="114" t="s">
        <v>3271</v>
      </c>
      <c r="C144" s="115">
        <v>135.0</v>
      </c>
      <c r="D144" s="116" t="b">
        <v>0</v>
      </c>
    </row>
    <row r="145">
      <c r="A145" s="114" t="s">
        <v>3204</v>
      </c>
      <c r="B145" s="114" t="s">
        <v>3272</v>
      </c>
      <c r="C145" s="115">
        <v>135.0</v>
      </c>
      <c r="D145" s="116" t="b">
        <v>0</v>
      </c>
    </row>
    <row r="146">
      <c r="A146" s="114" t="s">
        <v>3204</v>
      </c>
      <c r="B146" s="114" t="s">
        <v>3273</v>
      </c>
      <c r="C146" s="115">
        <v>135.0</v>
      </c>
      <c r="D146" s="116" t="b">
        <v>0</v>
      </c>
    </row>
    <row r="147">
      <c r="A147" s="114" t="s">
        <v>3204</v>
      </c>
      <c r="B147" s="114" t="s">
        <v>3274</v>
      </c>
      <c r="C147" s="115">
        <v>135.0</v>
      </c>
      <c r="D147" s="116" t="b">
        <v>0</v>
      </c>
    </row>
    <row r="148">
      <c r="A148" s="114" t="s">
        <v>3204</v>
      </c>
      <c r="B148" s="114" t="s">
        <v>3275</v>
      </c>
      <c r="C148" s="115">
        <v>135.0</v>
      </c>
      <c r="D148" s="116" t="b">
        <v>0</v>
      </c>
    </row>
    <row r="149">
      <c r="A149" s="114" t="s">
        <v>3204</v>
      </c>
      <c r="B149" s="114" t="s">
        <v>3276</v>
      </c>
      <c r="C149" s="115">
        <v>155.0</v>
      </c>
      <c r="D149" s="116" t="b">
        <v>0</v>
      </c>
    </row>
    <row r="150">
      <c r="A150" s="114" t="s">
        <v>3204</v>
      </c>
      <c r="B150" s="114" t="s">
        <v>3277</v>
      </c>
      <c r="C150" s="115">
        <v>135.0</v>
      </c>
      <c r="D150" s="116" t="b">
        <v>0</v>
      </c>
    </row>
    <row r="151">
      <c r="A151" s="114" t="s">
        <v>3204</v>
      </c>
      <c r="B151" s="114" t="s">
        <v>3278</v>
      </c>
      <c r="C151" s="115">
        <v>155.0</v>
      </c>
      <c r="D151" s="116" t="b">
        <v>0</v>
      </c>
    </row>
    <row r="152">
      <c r="A152" s="114" t="s">
        <v>3204</v>
      </c>
      <c r="B152" s="114" t="s">
        <v>3279</v>
      </c>
      <c r="C152" s="115">
        <v>155.0</v>
      </c>
      <c r="D152" s="116" t="b">
        <v>0</v>
      </c>
    </row>
    <row r="153">
      <c r="A153" s="114" t="s">
        <v>3204</v>
      </c>
      <c r="B153" s="114" t="s">
        <v>3280</v>
      </c>
      <c r="C153" s="115">
        <v>160.0</v>
      </c>
      <c r="D153" s="116" t="b">
        <v>0</v>
      </c>
    </row>
    <row r="154">
      <c r="A154" s="114" t="s">
        <v>3204</v>
      </c>
      <c r="B154" s="114" t="s">
        <v>3281</v>
      </c>
      <c r="C154" s="115">
        <v>135.0</v>
      </c>
      <c r="D154" s="116" t="b">
        <v>0</v>
      </c>
    </row>
    <row r="155">
      <c r="A155" s="114" t="s">
        <v>3204</v>
      </c>
      <c r="B155" s="114" t="s">
        <v>3282</v>
      </c>
      <c r="C155" s="115">
        <v>165.0</v>
      </c>
      <c r="D155" s="116" t="b">
        <v>0</v>
      </c>
    </row>
    <row r="156">
      <c r="A156" s="114" t="s">
        <v>3204</v>
      </c>
      <c r="B156" s="114" t="s">
        <v>3283</v>
      </c>
      <c r="C156" s="115">
        <v>145.0</v>
      </c>
      <c r="D156" s="116" t="b">
        <v>0</v>
      </c>
    </row>
    <row r="157">
      <c r="A157" s="114" t="s">
        <v>3204</v>
      </c>
      <c r="B157" s="114" t="s">
        <v>3284</v>
      </c>
      <c r="C157" s="115">
        <v>135.0</v>
      </c>
      <c r="D157" s="116" t="b">
        <v>0</v>
      </c>
    </row>
    <row r="158">
      <c r="A158" s="114" t="s">
        <v>3204</v>
      </c>
      <c r="B158" s="114" t="s">
        <v>3285</v>
      </c>
      <c r="C158" s="115">
        <v>135.0</v>
      </c>
      <c r="D158" s="116" t="b">
        <v>0</v>
      </c>
    </row>
    <row r="159">
      <c r="A159" s="114" t="s">
        <v>3204</v>
      </c>
      <c r="B159" s="114" t="s">
        <v>3286</v>
      </c>
      <c r="C159" s="115">
        <v>135.0</v>
      </c>
      <c r="D159" s="116" t="b">
        <v>0</v>
      </c>
    </row>
    <row r="160">
      <c r="A160" s="114" t="s">
        <v>3204</v>
      </c>
      <c r="B160" s="114" t="s">
        <v>3287</v>
      </c>
      <c r="C160" s="115">
        <v>135.0</v>
      </c>
      <c r="D160" s="116" t="b">
        <v>0</v>
      </c>
    </row>
    <row r="161">
      <c r="A161" s="114" t="s">
        <v>3204</v>
      </c>
      <c r="B161" s="114" t="s">
        <v>3288</v>
      </c>
      <c r="C161" s="115">
        <v>150.0</v>
      </c>
      <c r="D161" s="116" t="b">
        <v>0</v>
      </c>
    </row>
    <row r="162">
      <c r="A162" s="114" t="s">
        <v>3204</v>
      </c>
      <c r="B162" s="114" t="s">
        <v>3289</v>
      </c>
      <c r="C162" s="115">
        <v>150.0</v>
      </c>
      <c r="D162" s="116" t="b">
        <v>0</v>
      </c>
    </row>
    <row r="163">
      <c r="A163" s="114" t="s">
        <v>3204</v>
      </c>
      <c r="B163" s="114" t="s">
        <v>3290</v>
      </c>
      <c r="C163" s="115">
        <v>180.0</v>
      </c>
      <c r="D163" s="116" t="b">
        <v>0</v>
      </c>
    </row>
    <row r="164">
      <c r="A164" s="114" t="s">
        <v>3291</v>
      </c>
      <c r="B164" s="114" t="s">
        <v>3292</v>
      </c>
      <c r="C164" s="115">
        <v>160.0</v>
      </c>
      <c r="D164" s="116" t="b">
        <v>0</v>
      </c>
    </row>
    <row r="165">
      <c r="A165" s="114" t="s">
        <v>3291</v>
      </c>
      <c r="B165" s="114" t="s">
        <v>3293</v>
      </c>
      <c r="C165" s="115">
        <v>40.0</v>
      </c>
      <c r="D165" s="116" t="b">
        <v>0</v>
      </c>
    </row>
    <row r="166">
      <c r="A166" s="114" t="s">
        <v>3291</v>
      </c>
      <c r="B166" s="114" t="s">
        <v>3294</v>
      </c>
      <c r="C166" s="115">
        <v>90.0</v>
      </c>
      <c r="D166" s="116" t="b">
        <v>0</v>
      </c>
    </row>
    <row r="167">
      <c r="A167" s="114" t="s">
        <v>3291</v>
      </c>
      <c r="B167" s="114" t="s">
        <v>3295</v>
      </c>
      <c r="C167" s="115">
        <v>108.0</v>
      </c>
      <c r="D167" s="116" t="b">
        <v>0</v>
      </c>
    </row>
    <row r="168">
      <c r="A168" s="114" t="s">
        <v>3291</v>
      </c>
      <c r="B168" s="114" t="s">
        <v>3296</v>
      </c>
      <c r="C168" s="115">
        <v>50.0</v>
      </c>
      <c r="D168" s="116" t="b">
        <v>0</v>
      </c>
    </row>
    <row r="169">
      <c r="A169" s="114" t="s">
        <v>3291</v>
      </c>
      <c r="B169" s="114" t="s">
        <v>3297</v>
      </c>
      <c r="C169" s="115">
        <v>120.0</v>
      </c>
      <c r="D169" s="116" t="b">
        <v>0</v>
      </c>
    </row>
    <row r="170">
      <c r="A170" s="114" t="s">
        <v>3291</v>
      </c>
      <c r="B170" s="114" t="s">
        <v>3298</v>
      </c>
      <c r="C170" s="115">
        <v>130.0</v>
      </c>
      <c r="D170" s="116" t="b">
        <v>0</v>
      </c>
    </row>
    <row r="171">
      <c r="A171" s="114" t="s">
        <v>3291</v>
      </c>
      <c r="B171" s="114" t="s">
        <v>3299</v>
      </c>
      <c r="C171" s="115">
        <v>175.0</v>
      </c>
      <c r="D171" s="116" t="b">
        <v>1</v>
      </c>
    </row>
    <row r="172">
      <c r="A172" s="114" t="s">
        <v>3291</v>
      </c>
      <c r="B172" s="114" t="s">
        <v>3300</v>
      </c>
      <c r="C172" s="115">
        <v>170.0</v>
      </c>
      <c r="D172" s="116" t="b">
        <v>1</v>
      </c>
    </row>
    <row r="173">
      <c r="A173" s="114" t="s">
        <v>3291</v>
      </c>
      <c r="B173" s="114" t="s">
        <v>3301</v>
      </c>
      <c r="C173" s="115">
        <v>180.0</v>
      </c>
      <c r="D173" s="116" t="b">
        <v>1</v>
      </c>
    </row>
    <row r="174">
      <c r="A174" s="114" t="s">
        <v>3291</v>
      </c>
      <c r="B174" s="114" t="s">
        <v>3302</v>
      </c>
      <c r="C174" s="115">
        <v>85.0</v>
      </c>
      <c r="D174" s="116" t="b">
        <v>0</v>
      </c>
    </row>
    <row r="175">
      <c r="A175" s="114" t="s">
        <v>3291</v>
      </c>
      <c r="B175" s="114" t="s">
        <v>3303</v>
      </c>
      <c r="C175" s="115">
        <v>85.0</v>
      </c>
      <c r="D175" s="116" t="b">
        <v>0</v>
      </c>
    </row>
    <row r="176">
      <c r="A176" s="114" t="s">
        <v>3291</v>
      </c>
      <c r="B176" s="114" t="s">
        <v>3304</v>
      </c>
      <c r="C176" s="115">
        <v>125.0</v>
      </c>
      <c r="D176" s="116" t="b">
        <v>0</v>
      </c>
    </row>
    <row r="177">
      <c r="A177" s="114" t="s">
        <v>3291</v>
      </c>
      <c r="B177" s="114" t="s">
        <v>3305</v>
      </c>
      <c r="C177" s="115">
        <v>175.0</v>
      </c>
      <c r="D177" s="116" t="b">
        <v>0</v>
      </c>
    </row>
    <row r="178">
      <c r="A178" s="114" t="s">
        <v>3291</v>
      </c>
      <c r="B178" s="114" t="s">
        <v>3306</v>
      </c>
      <c r="C178" s="115">
        <v>83.0</v>
      </c>
      <c r="D178" s="116" t="b">
        <v>0</v>
      </c>
    </row>
    <row r="179">
      <c r="A179" s="114" t="s">
        <v>3291</v>
      </c>
      <c r="B179" s="114" t="s">
        <v>3307</v>
      </c>
      <c r="C179" s="115">
        <v>25.0</v>
      </c>
      <c r="D179" s="116" t="b">
        <v>0</v>
      </c>
    </row>
    <row r="180">
      <c r="A180" s="114" t="s">
        <v>3291</v>
      </c>
      <c r="B180" s="114" t="s">
        <v>3308</v>
      </c>
      <c r="C180" s="115">
        <v>83.0</v>
      </c>
      <c r="D180" s="116" t="b">
        <v>0</v>
      </c>
    </row>
    <row r="181">
      <c r="A181" s="114" t="s">
        <v>3291</v>
      </c>
      <c r="B181" s="114" t="s">
        <v>3309</v>
      </c>
      <c r="C181" s="115">
        <v>83.0</v>
      </c>
      <c r="D181" s="116" t="b">
        <v>0</v>
      </c>
    </row>
    <row r="182">
      <c r="A182" s="114" t="s">
        <v>3291</v>
      </c>
      <c r="B182" s="114" t="s">
        <v>3310</v>
      </c>
      <c r="C182" s="115">
        <v>325.0</v>
      </c>
      <c r="D182" s="116" t="b">
        <v>0</v>
      </c>
    </row>
    <row r="183">
      <c r="A183" s="114" t="s">
        <v>3291</v>
      </c>
      <c r="B183" s="114" t="s">
        <v>3311</v>
      </c>
      <c r="C183" s="115">
        <v>30.0</v>
      </c>
      <c r="D183" s="116" t="b">
        <v>0</v>
      </c>
    </row>
    <row r="184">
      <c r="A184" s="114" t="s">
        <v>3291</v>
      </c>
      <c r="B184" s="114" t="s">
        <v>3312</v>
      </c>
      <c r="C184" s="115">
        <v>30.0</v>
      </c>
      <c r="D184" s="116" t="b">
        <v>0</v>
      </c>
    </row>
    <row r="185">
      <c r="A185" s="114" t="s">
        <v>3291</v>
      </c>
      <c r="B185" s="114" t="s">
        <v>3313</v>
      </c>
      <c r="C185" s="115">
        <v>83.0</v>
      </c>
      <c r="D185" s="116" t="b">
        <v>0</v>
      </c>
    </row>
    <row r="186">
      <c r="A186" s="114" t="s">
        <v>3291</v>
      </c>
      <c r="B186" s="114" t="s">
        <v>3314</v>
      </c>
      <c r="C186" s="115">
        <v>30.0</v>
      </c>
      <c r="D186" s="116" t="b">
        <v>0</v>
      </c>
    </row>
    <row r="187">
      <c r="A187" s="114" t="s">
        <v>3291</v>
      </c>
      <c r="B187" s="114" t="s">
        <v>3315</v>
      </c>
      <c r="C187" s="115">
        <v>83.0</v>
      </c>
      <c r="D187" s="116" t="b">
        <v>0</v>
      </c>
    </row>
    <row r="188">
      <c r="A188" s="114" t="s">
        <v>3291</v>
      </c>
      <c r="B188" s="114" t="s">
        <v>3316</v>
      </c>
      <c r="C188" s="115">
        <v>83.0</v>
      </c>
      <c r="D188" s="116" t="b">
        <v>0</v>
      </c>
    </row>
    <row r="189">
      <c r="A189" s="114" t="s">
        <v>3291</v>
      </c>
      <c r="B189" s="114" t="s">
        <v>3317</v>
      </c>
      <c r="C189" s="115">
        <v>25.0</v>
      </c>
      <c r="D189" s="116" t="b">
        <v>0</v>
      </c>
    </row>
    <row r="190">
      <c r="A190" s="114" t="s">
        <v>3291</v>
      </c>
      <c r="B190" s="114" t="s">
        <v>3318</v>
      </c>
      <c r="C190" s="115">
        <v>25.0</v>
      </c>
      <c r="D190" s="116" t="b">
        <v>0</v>
      </c>
    </row>
    <row r="191">
      <c r="A191" s="114" t="s">
        <v>3291</v>
      </c>
      <c r="B191" s="114" t="s">
        <v>3319</v>
      </c>
      <c r="C191" s="115">
        <v>83.0</v>
      </c>
      <c r="D191" s="116" t="b">
        <v>0</v>
      </c>
    </row>
    <row r="192">
      <c r="A192" s="114" t="s">
        <v>3291</v>
      </c>
      <c r="B192" s="114" t="s">
        <v>3320</v>
      </c>
      <c r="C192" s="115">
        <v>25.0</v>
      </c>
      <c r="D192" s="116" t="b">
        <v>0</v>
      </c>
    </row>
    <row r="193">
      <c r="A193" s="114" t="s">
        <v>3291</v>
      </c>
      <c r="B193" s="114" t="s">
        <v>3321</v>
      </c>
      <c r="C193" s="115">
        <v>83.0</v>
      </c>
      <c r="D193" s="116" t="b">
        <v>0</v>
      </c>
    </row>
    <row r="194">
      <c r="A194" s="114" t="s">
        <v>3291</v>
      </c>
      <c r="B194" s="114" t="s">
        <v>3322</v>
      </c>
      <c r="C194" s="115">
        <v>175.0</v>
      </c>
      <c r="D194" s="116" t="b">
        <v>0</v>
      </c>
    </row>
    <row r="195">
      <c r="A195" s="114" t="s">
        <v>3291</v>
      </c>
      <c r="B195" s="114" t="s">
        <v>3323</v>
      </c>
      <c r="C195" s="115">
        <v>185.0</v>
      </c>
      <c r="D195" s="116" t="b">
        <v>0</v>
      </c>
    </row>
    <row r="196">
      <c r="A196" s="114" t="s">
        <v>3291</v>
      </c>
      <c r="B196" s="114" t="s">
        <v>3324</v>
      </c>
      <c r="C196" s="115">
        <v>295.0</v>
      </c>
      <c r="D196" s="116" t="b">
        <v>0</v>
      </c>
    </row>
    <row r="197">
      <c r="A197" s="114" t="s">
        <v>3291</v>
      </c>
      <c r="B197" s="114" t="s">
        <v>3325</v>
      </c>
      <c r="C197" s="115">
        <v>25.0</v>
      </c>
      <c r="D197" s="116" t="b">
        <v>0</v>
      </c>
    </row>
    <row r="198">
      <c r="A198" s="114" t="s">
        <v>3291</v>
      </c>
      <c r="B198" s="114" t="s">
        <v>3326</v>
      </c>
      <c r="C198" s="115">
        <v>225.0</v>
      </c>
      <c r="D198" s="116" t="b">
        <v>0</v>
      </c>
    </row>
    <row r="199">
      <c r="A199" s="114" t="s">
        <v>3291</v>
      </c>
      <c r="B199" s="114" t="s">
        <v>3327</v>
      </c>
      <c r="C199" s="115">
        <v>25.0</v>
      </c>
      <c r="D199" s="116" t="b">
        <v>0</v>
      </c>
    </row>
    <row r="200">
      <c r="A200" s="114" t="s">
        <v>3291</v>
      </c>
      <c r="B200" s="114" t="s">
        <v>3328</v>
      </c>
      <c r="C200" s="115">
        <v>25.0</v>
      </c>
      <c r="D200" s="116" t="b">
        <v>0</v>
      </c>
    </row>
    <row r="201">
      <c r="A201" s="114" t="s">
        <v>3291</v>
      </c>
      <c r="B201" s="114" t="s">
        <v>3329</v>
      </c>
      <c r="C201" s="115">
        <v>25.0</v>
      </c>
      <c r="D201" s="116" t="b">
        <v>0</v>
      </c>
    </row>
    <row r="202">
      <c r="A202" s="114" t="s">
        <v>3291</v>
      </c>
      <c r="B202" s="114" t="s">
        <v>3330</v>
      </c>
      <c r="C202" s="115">
        <v>40.0</v>
      </c>
      <c r="D202" s="116" t="b">
        <v>0</v>
      </c>
    </row>
    <row r="203">
      <c r="A203" s="114" t="s">
        <v>3291</v>
      </c>
      <c r="B203" s="114" t="s">
        <v>3331</v>
      </c>
      <c r="C203" s="115">
        <v>40.0</v>
      </c>
      <c r="D203" s="116" t="b">
        <v>0</v>
      </c>
    </row>
    <row r="204">
      <c r="A204" s="114" t="s">
        <v>3291</v>
      </c>
      <c r="B204" s="114" t="s">
        <v>3332</v>
      </c>
      <c r="C204" s="115">
        <v>83.0</v>
      </c>
      <c r="D204" s="116" t="b">
        <v>0</v>
      </c>
    </row>
    <row r="205">
      <c r="A205" s="114" t="s">
        <v>3291</v>
      </c>
      <c r="B205" s="114" t="s">
        <v>3333</v>
      </c>
      <c r="C205" s="115">
        <v>40.0</v>
      </c>
      <c r="D205" s="116" t="b">
        <v>0</v>
      </c>
    </row>
    <row r="206">
      <c r="A206" s="114" t="s">
        <v>3291</v>
      </c>
      <c r="B206" s="114" t="s">
        <v>3334</v>
      </c>
      <c r="C206" s="115">
        <v>83.0</v>
      </c>
      <c r="D206" s="116" t="b">
        <v>0</v>
      </c>
    </row>
    <row r="207">
      <c r="A207" s="114" t="s">
        <v>3291</v>
      </c>
      <c r="B207" s="114" t="s">
        <v>3335</v>
      </c>
      <c r="C207" s="115">
        <v>83.0</v>
      </c>
      <c r="D207" s="116" t="b">
        <v>0</v>
      </c>
    </row>
    <row r="208">
      <c r="A208" s="114" t="s">
        <v>3291</v>
      </c>
      <c r="B208" s="114" t="s">
        <v>3336</v>
      </c>
      <c r="C208" s="115">
        <v>40.0</v>
      </c>
      <c r="D208" s="116" t="b">
        <v>0</v>
      </c>
    </row>
    <row r="209">
      <c r="A209" s="114" t="s">
        <v>3291</v>
      </c>
      <c r="B209" s="114" t="s">
        <v>3337</v>
      </c>
      <c r="C209" s="115">
        <v>40.0</v>
      </c>
      <c r="D209" s="116" t="b">
        <v>0</v>
      </c>
    </row>
    <row r="210">
      <c r="A210" s="114" t="s">
        <v>3291</v>
      </c>
      <c r="B210" s="114" t="s">
        <v>3338</v>
      </c>
      <c r="C210" s="115">
        <v>83.0</v>
      </c>
      <c r="D210" s="116" t="b">
        <v>0</v>
      </c>
    </row>
    <row r="211">
      <c r="A211" s="114" t="s">
        <v>3291</v>
      </c>
      <c r="B211" s="114" t="s">
        <v>3339</v>
      </c>
      <c r="C211" s="115">
        <v>83.0</v>
      </c>
      <c r="D211" s="116" t="b">
        <v>0</v>
      </c>
    </row>
    <row r="212">
      <c r="A212" s="114" t="s">
        <v>3291</v>
      </c>
      <c r="B212" s="114" t="s">
        <v>3340</v>
      </c>
      <c r="C212" s="115">
        <v>295.0</v>
      </c>
      <c r="D212" s="116" t="b">
        <v>0</v>
      </c>
    </row>
    <row r="213">
      <c r="A213" s="114" t="s">
        <v>3291</v>
      </c>
      <c r="B213" s="114" t="s">
        <v>3341</v>
      </c>
      <c r="C213" s="115">
        <v>83.0</v>
      </c>
      <c r="D213" s="116" t="b">
        <v>0</v>
      </c>
    </row>
    <row r="214">
      <c r="A214" s="114" t="s">
        <v>3291</v>
      </c>
      <c r="B214" s="114" t="s">
        <v>3342</v>
      </c>
      <c r="C214" s="115">
        <v>83.0</v>
      </c>
      <c r="D214" s="116" t="b">
        <v>0</v>
      </c>
    </row>
    <row r="215">
      <c r="A215" s="114" t="s">
        <v>3291</v>
      </c>
      <c r="B215" s="114" t="s">
        <v>3343</v>
      </c>
      <c r="C215" s="115">
        <v>500.0</v>
      </c>
      <c r="D215" s="116" t="b">
        <v>0</v>
      </c>
    </row>
    <row r="216">
      <c r="A216" s="114" t="s">
        <v>3291</v>
      </c>
      <c r="B216" s="114" t="s">
        <v>3344</v>
      </c>
      <c r="C216" s="115">
        <v>83.0</v>
      </c>
      <c r="D216" s="116" t="b">
        <v>0</v>
      </c>
    </row>
    <row r="217">
      <c r="A217" s="114" t="s">
        <v>3291</v>
      </c>
      <c r="B217" s="114" t="s">
        <v>3345</v>
      </c>
      <c r="C217" s="115">
        <v>200.0</v>
      </c>
      <c r="D217" s="116" t="b">
        <v>0</v>
      </c>
    </row>
    <row r="218">
      <c r="A218" s="114" t="s">
        <v>3291</v>
      </c>
      <c r="B218" s="114" t="s">
        <v>3346</v>
      </c>
      <c r="C218" s="115">
        <v>160.0</v>
      </c>
      <c r="D218" s="116" t="b">
        <v>0</v>
      </c>
    </row>
    <row r="219">
      <c r="A219" s="114" t="s">
        <v>3291</v>
      </c>
      <c r="B219" s="114" t="s">
        <v>3347</v>
      </c>
      <c r="C219" s="115">
        <v>83.0</v>
      </c>
      <c r="D219" s="116" t="b">
        <v>0</v>
      </c>
    </row>
    <row r="220">
      <c r="A220" s="114" t="s">
        <v>3291</v>
      </c>
      <c r="B220" s="114" t="s">
        <v>3348</v>
      </c>
      <c r="C220" s="115">
        <v>125.0</v>
      </c>
      <c r="D220" s="116" t="b">
        <v>0</v>
      </c>
    </row>
    <row r="221">
      <c r="A221" s="114" t="s">
        <v>3291</v>
      </c>
      <c r="B221" s="114" t="s">
        <v>3349</v>
      </c>
      <c r="C221" s="115">
        <v>170.0</v>
      </c>
      <c r="D221" s="116" t="b">
        <v>0</v>
      </c>
    </row>
    <row r="222">
      <c r="A222" s="114" t="s">
        <v>3291</v>
      </c>
      <c r="B222" s="114" t="s">
        <v>3350</v>
      </c>
      <c r="C222" s="115">
        <v>25.0</v>
      </c>
      <c r="D222" s="116" t="b">
        <v>0</v>
      </c>
    </row>
    <row r="223">
      <c r="A223" s="114" t="s">
        <v>3291</v>
      </c>
      <c r="B223" s="114" t="s">
        <v>3351</v>
      </c>
      <c r="C223" s="115">
        <v>25.0</v>
      </c>
      <c r="D223" s="116" t="b">
        <v>0</v>
      </c>
    </row>
    <row r="224">
      <c r="A224" s="114" t="s">
        <v>3291</v>
      </c>
      <c r="B224" s="114" t="s">
        <v>3352</v>
      </c>
      <c r="C224" s="115">
        <v>25.0</v>
      </c>
      <c r="D224" s="116" t="b">
        <v>1</v>
      </c>
    </row>
    <row r="225">
      <c r="A225" s="114" t="s">
        <v>3291</v>
      </c>
      <c r="B225" s="114" t="s">
        <v>3353</v>
      </c>
      <c r="C225" s="115">
        <v>25.0</v>
      </c>
      <c r="D225" s="116" t="b">
        <v>0</v>
      </c>
    </row>
    <row r="226">
      <c r="A226" s="114" t="s">
        <v>3291</v>
      </c>
      <c r="B226" s="114" t="s">
        <v>3354</v>
      </c>
      <c r="C226" s="115">
        <v>25.0</v>
      </c>
      <c r="D226" s="116" t="b">
        <v>0</v>
      </c>
    </row>
    <row r="227">
      <c r="A227" s="114" t="s">
        <v>3291</v>
      </c>
      <c r="B227" s="114" t="s">
        <v>3355</v>
      </c>
      <c r="C227" s="115">
        <v>83.0</v>
      </c>
      <c r="D227" s="116" t="b">
        <v>0</v>
      </c>
    </row>
    <row r="228">
      <c r="A228" s="114" t="s">
        <v>3291</v>
      </c>
      <c r="B228" s="114" t="s">
        <v>3356</v>
      </c>
      <c r="C228" s="115">
        <v>295.0</v>
      </c>
      <c r="D228" s="116" t="b">
        <v>0</v>
      </c>
    </row>
    <row r="229">
      <c r="A229" s="114" t="s">
        <v>3291</v>
      </c>
      <c r="B229" s="114" t="s">
        <v>3357</v>
      </c>
      <c r="C229" s="115">
        <v>83.0</v>
      </c>
      <c r="D229" s="116" t="b">
        <v>0</v>
      </c>
    </row>
    <row r="230">
      <c r="A230" s="114" t="s">
        <v>3291</v>
      </c>
      <c r="B230" s="114" t="s">
        <v>3358</v>
      </c>
      <c r="C230" s="115">
        <v>190.0</v>
      </c>
      <c r="D230" s="116" t="b">
        <v>0</v>
      </c>
    </row>
    <row r="231">
      <c r="A231" s="114" t="s">
        <v>3291</v>
      </c>
      <c r="B231" s="114" t="s">
        <v>3359</v>
      </c>
      <c r="C231" s="115">
        <v>83.0</v>
      </c>
      <c r="D231" s="116" t="b">
        <v>0</v>
      </c>
    </row>
    <row r="232">
      <c r="A232" s="114" t="s">
        <v>3291</v>
      </c>
      <c r="B232" s="114" t="s">
        <v>3360</v>
      </c>
      <c r="C232" s="115">
        <v>25.0</v>
      </c>
      <c r="D232" s="116" t="b">
        <v>1</v>
      </c>
    </row>
    <row r="233">
      <c r="A233" s="114" t="s">
        <v>3291</v>
      </c>
      <c r="B233" s="114" t="s">
        <v>3361</v>
      </c>
      <c r="C233" s="115">
        <v>25.0</v>
      </c>
      <c r="D233" s="116" t="b">
        <v>0</v>
      </c>
    </row>
    <row r="234">
      <c r="A234" s="114" t="s">
        <v>3291</v>
      </c>
      <c r="B234" s="114" t="s">
        <v>3362</v>
      </c>
      <c r="C234" s="115">
        <v>25.0</v>
      </c>
      <c r="D234" s="116" t="b">
        <v>0</v>
      </c>
    </row>
    <row r="235">
      <c r="A235" s="114" t="s">
        <v>3291</v>
      </c>
      <c r="B235" s="114" t="s">
        <v>3363</v>
      </c>
      <c r="C235" s="115">
        <v>50.0</v>
      </c>
      <c r="D235" s="116" t="b">
        <v>0</v>
      </c>
    </row>
    <row r="236">
      <c r="A236" s="114" t="s">
        <v>3291</v>
      </c>
      <c r="B236" s="114" t="s">
        <v>3364</v>
      </c>
      <c r="C236" s="115">
        <v>150.0</v>
      </c>
      <c r="D236" s="116" t="b">
        <v>0</v>
      </c>
    </row>
    <row r="237">
      <c r="A237" s="114" t="s">
        <v>3291</v>
      </c>
      <c r="B237" s="114" t="s">
        <v>3365</v>
      </c>
      <c r="C237" s="115">
        <v>195.0</v>
      </c>
      <c r="D237" s="116" t="b">
        <v>0</v>
      </c>
    </row>
    <row r="238">
      <c r="A238" s="114" t="s">
        <v>3291</v>
      </c>
      <c r="B238" s="114" t="s">
        <v>3366</v>
      </c>
      <c r="C238" s="115">
        <v>83.0</v>
      </c>
      <c r="D238" s="116" t="b">
        <v>0</v>
      </c>
    </row>
    <row r="239">
      <c r="A239" s="114" t="s">
        <v>3291</v>
      </c>
      <c r="B239" s="114" t="s">
        <v>3367</v>
      </c>
      <c r="C239" s="115">
        <v>120.0</v>
      </c>
      <c r="D239" s="116" t="b">
        <v>0</v>
      </c>
    </row>
    <row r="240">
      <c r="A240" s="114" t="s">
        <v>3291</v>
      </c>
      <c r="B240" s="114" t="s">
        <v>3368</v>
      </c>
      <c r="C240" s="115">
        <v>40.0</v>
      </c>
      <c r="D240" s="116" t="b">
        <v>1</v>
      </c>
    </row>
    <row r="241">
      <c r="A241" s="114" t="s">
        <v>3291</v>
      </c>
      <c r="B241" s="114" t="s">
        <v>3369</v>
      </c>
      <c r="C241" s="115">
        <v>25.0</v>
      </c>
      <c r="D241" s="116" t="b">
        <v>1</v>
      </c>
    </row>
    <row r="242">
      <c r="A242" s="114" t="s">
        <v>3291</v>
      </c>
      <c r="B242" s="114" t="s">
        <v>3370</v>
      </c>
      <c r="C242" s="115">
        <v>25.0</v>
      </c>
      <c r="D242" s="116" t="b">
        <v>0</v>
      </c>
    </row>
    <row r="243">
      <c r="A243" s="114" t="s">
        <v>3291</v>
      </c>
      <c r="B243" s="114" t="s">
        <v>3371</v>
      </c>
      <c r="C243" s="115">
        <v>25.0</v>
      </c>
      <c r="D243" s="116" t="b">
        <v>0</v>
      </c>
    </row>
    <row r="244">
      <c r="A244" s="114" t="s">
        <v>3291</v>
      </c>
      <c r="B244" s="114" t="s">
        <v>3372</v>
      </c>
      <c r="C244" s="115">
        <v>25.0</v>
      </c>
      <c r="D244" s="116" t="b">
        <v>1</v>
      </c>
    </row>
    <row r="245">
      <c r="A245" s="114" t="s">
        <v>3291</v>
      </c>
      <c r="B245" s="114" t="s">
        <v>3373</v>
      </c>
      <c r="C245" s="115">
        <v>25.0</v>
      </c>
      <c r="D245" s="116" t="b">
        <v>0</v>
      </c>
    </row>
    <row r="246">
      <c r="A246" s="114" t="s">
        <v>3291</v>
      </c>
      <c r="B246" s="114" t="s">
        <v>3374</v>
      </c>
      <c r="C246" s="115">
        <v>25.0</v>
      </c>
      <c r="D246" s="116" t="b">
        <v>0</v>
      </c>
    </row>
    <row r="247">
      <c r="A247" s="114" t="s">
        <v>3291</v>
      </c>
      <c r="B247" s="114" t="s">
        <v>3375</v>
      </c>
      <c r="C247" s="115">
        <v>25.0</v>
      </c>
      <c r="D247" s="116" t="b">
        <v>0</v>
      </c>
    </row>
    <row r="248">
      <c r="A248" s="114" t="s">
        <v>3291</v>
      </c>
      <c r="B248" s="114" t="s">
        <v>3376</v>
      </c>
      <c r="C248" s="115">
        <v>40.0</v>
      </c>
      <c r="D248" s="116" t="b">
        <v>1</v>
      </c>
    </row>
    <row r="249">
      <c r="A249" s="114" t="s">
        <v>3291</v>
      </c>
      <c r="B249" s="114" t="s">
        <v>3377</v>
      </c>
      <c r="C249" s="115">
        <v>100.0</v>
      </c>
      <c r="D249" s="116" t="b">
        <v>0</v>
      </c>
    </row>
    <row r="250">
      <c r="A250" s="114" t="s">
        <v>3291</v>
      </c>
      <c r="B250" s="114" t="s">
        <v>3378</v>
      </c>
      <c r="C250" s="115">
        <v>25.0</v>
      </c>
      <c r="D250" s="116" t="b">
        <v>1</v>
      </c>
    </row>
    <row r="251">
      <c r="A251" s="114" t="s">
        <v>3291</v>
      </c>
      <c r="B251" s="114" t="s">
        <v>3379</v>
      </c>
      <c r="C251" s="115">
        <v>25.0</v>
      </c>
      <c r="D251" s="116" t="b">
        <v>0</v>
      </c>
    </row>
    <row r="252">
      <c r="A252" s="114" t="s">
        <v>3291</v>
      </c>
      <c r="B252" s="114" t="s">
        <v>3380</v>
      </c>
      <c r="C252" s="115">
        <v>25.0</v>
      </c>
      <c r="D252" s="116" t="b">
        <v>0</v>
      </c>
    </row>
    <row r="253">
      <c r="A253" s="114" t="s">
        <v>3291</v>
      </c>
      <c r="B253" s="114" t="s">
        <v>3381</v>
      </c>
      <c r="C253" s="115">
        <v>25.0</v>
      </c>
      <c r="D253" s="116" t="b">
        <v>1</v>
      </c>
    </row>
    <row r="254">
      <c r="A254" s="114" t="s">
        <v>3291</v>
      </c>
      <c r="B254" s="114" t="s">
        <v>3382</v>
      </c>
      <c r="C254" s="115">
        <v>25.0</v>
      </c>
      <c r="D254" s="116" t="b">
        <v>0</v>
      </c>
    </row>
    <row r="255">
      <c r="A255" s="114" t="s">
        <v>3291</v>
      </c>
      <c r="B255" s="114" t="s">
        <v>3383</v>
      </c>
      <c r="C255" s="115">
        <v>25.0</v>
      </c>
      <c r="D255" s="116" t="b">
        <v>0</v>
      </c>
    </row>
    <row r="256">
      <c r="A256" s="114" t="s">
        <v>3291</v>
      </c>
      <c r="B256" s="114" t="s">
        <v>3384</v>
      </c>
      <c r="C256" s="115">
        <v>25.0</v>
      </c>
      <c r="D256" s="116" t="b">
        <v>1</v>
      </c>
    </row>
    <row r="257">
      <c r="A257" s="114" t="s">
        <v>3291</v>
      </c>
      <c r="B257" s="114" t="s">
        <v>3385</v>
      </c>
      <c r="C257" s="115">
        <v>25.0</v>
      </c>
      <c r="D257" s="116" t="b">
        <v>0</v>
      </c>
    </row>
    <row r="258">
      <c r="A258" s="114" t="s">
        <v>3291</v>
      </c>
      <c r="B258" s="114" t="s">
        <v>3386</v>
      </c>
      <c r="C258" s="115">
        <v>25.0</v>
      </c>
      <c r="D258" s="116" t="b">
        <v>0</v>
      </c>
    </row>
    <row r="259">
      <c r="A259" s="114" t="s">
        <v>3291</v>
      </c>
      <c r="B259" s="114" t="s">
        <v>3387</v>
      </c>
      <c r="C259" s="115">
        <v>150.0</v>
      </c>
      <c r="D259" s="116" t="b">
        <v>0</v>
      </c>
    </row>
    <row r="260">
      <c r="A260" s="114" t="s">
        <v>3291</v>
      </c>
      <c r="B260" s="114" t="s">
        <v>3388</v>
      </c>
      <c r="C260" s="115">
        <v>30.0</v>
      </c>
      <c r="D260" s="116" t="b">
        <v>0</v>
      </c>
    </row>
    <row r="261">
      <c r="A261" s="114" t="s">
        <v>3291</v>
      </c>
      <c r="B261" s="114" t="s">
        <v>3389</v>
      </c>
      <c r="C261" s="115">
        <v>750.0</v>
      </c>
      <c r="D261" s="116" t="b">
        <v>0</v>
      </c>
    </row>
    <row r="262">
      <c r="A262" s="114" t="s">
        <v>3291</v>
      </c>
      <c r="B262" s="114" t="s">
        <v>3390</v>
      </c>
      <c r="C262" s="115">
        <v>83.0</v>
      </c>
      <c r="D262" s="116" t="b">
        <v>0</v>
      </c>
    </row>
    <row r="263">
      <c r="A263" s="114" t="s">
        <v>3291</v>
      </c>
      <c r="B263" s="114" t="s">
        <v>3391</v>
      </c>
      <c r="C263" s="115">
        <v>83.0</v>
      </c>
      <c r="D263" s="116" t="b">
        <v>0</v>
      </c>
    </row>
    <row r="264">
      <c r="A264" s="114" t="s">
        <v>3392</v>
      </c>
      <c r="B264" s="114" t="s">
        <v>3393</v>
      </c>
      <c r="C264" s="115">
        <v>125.0</v>
      </c>
      <c r="D264" s="116" t="b">
        <v>0</v>
      </c>
    </row>
    <row r="265">
      <c r="A265" s="114" t="s">
        <v>3392</v>
      </c>
      <c r="B265" s="114" t="s">
        <v>3394</v>
      </c>
      <c r="C265" s="115">
        <v>200.0</v>
      </c>
      <c r="D265" s="116" t="b">
        <v>0</v>
      </c>
    </row>
    <row r="266">
      <c r="A266" s="114" t="s">
        <v>3392</v>
      </c>
      <c r="B266" s="114" t="s">
        <v>295</v>
      </c>
      <c r="C266" s="115">
        <v>150.0</v>
      </c>
      <c r="D266" s="116" t="b">
        <v>0</v>
      </c>
    </row>
    <row r="267">
      <c r="A267" s="114" t="s">
        <v>3392</v>
      </c>
      <c r="B267" s="114" t="s">
        <v>3395</v>
      </c>
      <c r="C267" s="115">
        <v>180.0</v>
      </c>
      <c r="D267" s="116" t="b">
        <v>0</v>
      </c>
    </row>
    <row r="268">
      <c r="A268" s="114" t="s">
        <v>3392</v>
      </c>
      <c r="B268" s="114" t="s">
        <v>3396</v>
      </c>
      <c r="C268" s="115">
        <v>180.0</v>
      </c>
      <c r="D268" s="116" t="b">
        <v>0</v>
      </c>
    </row>
    <row r="269">
      <c r="A269" s="114" t="s">
        <v>3392</v>
      </c>
      <c r="B269" s="114" t="s">
        <v>3397</v>
      </c>
      <c r="C269" s="115">
        <v>140.0</v>
      </c>
      <c r="D269" s="116" t="b">
        <v>0</v>
      </c>
    </row>
    <row r="270">
      <c r="A270" s="114" t="s">
        <v>3392</v>
      </c>
      <c r="B270" s="114" t="s">
        <v>3398</v>
      </c>
      <c r="C270" s="115">
        <v>180.0</v>
      </c>
      <c r="D270" s="116" t="b">
        <v>0</v>
      </c>
    </row>
    <row r="271">
      <c r="A271" s="114" t="s">
        <v>3392</v>
      </c>
      <c r="B271" s="114" t="s">
        <v>3399</v>
      </c>
      <c r="C271" s="115">
        <v>50.0</v>
      </c>
      <c r="D271" s="116" t="b">
        <v>0</v>
      </c>
    </row>
    <row r="272">
      <c r="A272" s="114" t="s">
        <v>3392</v>
      </c>
      <c r="B272" s="114" t="s">
        <v>916</v>
      </c>
      <c r="C272" s="115">
        <v>160.0</v>
      </c>
      <c r="D272" s="116" t="b">
        <v>0</v>
      </c>
    </row>
    <row r="273">
      <c r="A273" s="114" t="s">
        <v>3392</v>
      </c>
      <c r="B273" s="114" t="s">
        <v>3400</v>
      </c>
      <c r="C273" s="115">
        <v>52.0</v>
      </c>
      <c r="D273" s="116" t="b">
        <v>0</v>
      </c>
    </row>
    <row r="274">
      <c r="A274" s="114" t="s">
        <v>3392</v>
      </c>
      <c r="B274" s="114" t="s">
        <v>3401</v>
      </c>
      <c r="C274" s="115">
        <v>200.0</v>
      </c>
      <c r="D274" s="116" t="b">
        <v>0</v>
      </c>
    </row>
    <row r="275">
      <c r="A275" s="114" t="s">
        <v>3392</v>
      </c>
      <c r="B275" s="114" t="s">
        <v>3402</v>
      </c>
      <c r="C275" s="115">
        <v>280.0</v>
      </c>
      <c r="D275" s="116" t="b">
        <v>0</v>
      </c>
    </row>
    <row r="276">
      <c r="A276" s="114" t="s">
        <v>3392</v>
      </c>
      <c r="B276" s="114" t="s">
        <v>3403</v>
      </c>
      <c r="C276" s="115">
        <v>610.0</v>
      </c>
      <c r="D276" s="116" t="b">
        <v>0</v>
      </c>
    </row>
    <row r="277">
      <c r="A277" s="114" t="s">
        <v>3392</v>
      </c>
      <c r="B277" s="114" t="s">
        <v>3404</v>
      </c>
      <c r="C277" s="115">
        <v>310.0</v>
      </c>
      <c r="D277" s="116" t="b">
        <v>0</v>
      </c>
    </row>
    <row r="278">
      <c r="A278" s="114" t="s">
        <v>3392</v>
      </c>
      <c r="B278" s="114" t="s">
        <v>3405</v>
      </c>
      <c r="C278" s="115">
        <v>90.0</v>
      </c>
      <c r="D278" s="116" t="b">
        <v>0</v>
      </c>
    </row>
    <row r="279">
      <c r="A279" s="114" t="s">
        <v>3392</v>
      </c>
      <c r="B279" s="114" t="s">
        <v>979</v>
      </c>
      <c r="C279" s="115">
        <v>150.0</v>
      </c>
      <c r="D279" s="116" t="b">
        <v>0</v>
      </c>
    </row>
    <row r="280">
      <c r="A280" s="114" t="s">
        <v>3392</v>
      </c>
      <c r="B280" s="114" t="s">
        <v>3406</v>
      </c>
      <c r="C280" s="115">
        <v>150.0</v>
      </c>
      <c r="D280" s="116" t="b">
        <v>0</v>
      </c>
    </row>
    <row r="281">
      <c r="A281" s="114" t="s">
        <v>3392</v>
      </c>
      <c r="B281" s="114" t="s">
        <v>3407</v>
      </c>
      <c r="C281" s="115">
        <v>150.0</v>
      </c>
      <c r="D281" s="116" t="b">
        <v>0</v>
      </c>
    </row>
    <row r="282">
      <c r="A282" s="114" t="s">
        <v>3392</v>
      </c>
      <c r="B282" s="114" t="s">
        <v>3408</v>
      </c>
      <c r="C282" s="115">
        <v>40.0</v>
      </c>
      <c r="D282" s="116" t="b">
        <v>1</v>
      </c>
    </row>
    <row r="283">
      <c r="A283" s="114" t="s">
        <v>3392</v>
      </c>
      <c r="B283" s="114" t="s">
        <v>3409</v>
      </c>
      <c r="C283" s="115">
        <v>70.0</v>
      </c>
      <c r="D283" s="116" t="b">
        <v>0</v>
      </c>
    </row>
    <row r="284">
      <c r="A284" s="114" t="s">
        <v>3392</v>
      </c>
      <c r="B284" s="114" t="s">
        <v>3410</v>
      </c>
      <c r="C284" s="115">
        <v>75.0</v>
      </c>
      <c r="D284" s="116" t="b">
        <v>0</v>
      </c>
    </row>
    <row r="285">
      <c r="A285" s="114" t="s">
        <v>3392</v>
      </c>
      <c r="B285" s="114" t="s">
        <v>3411</v>
      </c>
      <c r="C285" s="115">
        <v>135.0</v>
      </c>
      <c r="D285" s="116" t="b">
        <v>0</v>
      </c>
    </row>
    <row r="286">
      <c r="A286" s="114" t="s">
        <v>3392</v>
      </c>
      <c r="B286" s="114" t="s">
        <v>3412</v>
      </c>
      <c r="C286" s="115">
        <v>140.0</v>
      </c>
      <c r="D286" s="116" t="b">
        <v>0</v>
      </c>
    </row>
    <row r="287">
      <c r="A287" s="114" t="s">
        <v>3392</v>
      </c>
      <c r="B287" s="114" t="s">
        <v>3413</v>
      </c>
      <c r="C287" s="115">
        <v>52.0</v>
      </c>
      <c r="D287" s="116" t="b">
        <v>0</v>
      </c>
    </row>
    <row r="288">
      <c r="A288" s="114" t="s">
        <v>3392</v>
      </c>
      <c r="B288" s="114" t="s">
        <v>3414</v>
      </c>
      <c r="C288" s="115">
        <v>75.0</v>
      </c>
      <c r="D288" s="116" t="b">
        <v>0</v>
      </c>
    </row>
    <row r="289">
      <c r="A289" s="114" t="s">
        <v>3392</v>
      </c>
      <c r="B289" s="114" t="s">
        <v>3415</v>
      </c>
      <c r="C289" s="115">
        <v>140.0</v>
      </c>
      <c r="D289" s="116" t="b">
        <v>0</v>
      </c>
    </row>
    <row r="290">
      <c r="A290" s="114" t="s">
        <v>3392</v>
      </c>
      <c r="B290" s="114" t="s">
        <v>3416</v>
      </c>
      <c r="C290" s="115">
        <v>20.0</v>
      </c>
      <c r="D290" s="116" t="b">
        <v>0</v>
      </c>
    </row>
    <row r="291">
      <c r="A291" s="114" t="s">
        <v>3392</v>
      </c>
      <c r="B291" s="114" t="s">
        <v>3417</v>
      </c>
      <c r="C291" s="115">
        <v>150.0</v>
      </c>
      <c r="D291" s="116" t="b">
        <v>0</v>
      </c>
    </row>
    <row r="292">
      <c r="A292" s="114" t="s">
        <v>3392</v>
      </c>
      <c r="B292" s="114" t="s">
        <v>3418</v>
      </c>
      <c r="C292" s="115">
        <v>150.0</v>
      </c>
      <c r="D292" s="116" t="b">
        <v>0</v>
      </c>
    </row>
    <row r="293">
      <c r="A293" s="114" t="s">
        <v>3392</v>
      </c>
      <c r="B293" s="114" t="s">
        <v>3419</v>
      </c>
      <c r="C293" s="115">
        <v>161.0</v>
      </c>
      <c r="D293" s="116" t="b">
        <v>0</v>
      </c>
    </row>
    <row r="294">
      <c r="A294" s="114" t="s">
        <v>3392</v>
      </c>
      <c r="B294" s="114" t="s">
        <v>3420</v>
      </c>
      <c r="C294" s="115">
        <v>175.0</v>
      </c>
      <c r="D294" s="116" t="b">
        <v>0</v>
      </c>
    </row>
    <row r="295">
      <c r="A295" s="114" t="s">
        <v>3392</v>
      </c>
      <c r="B295" s="114" t="s">
        <v>3421</v>
      </c>
      <c r="C295" s="115">
        <v>225.0</v>
      </c>
      <c r="D295" s="116" t="b">
        <v>0</v>
      </c>
    </row>
    <row r="296">
      <c r="A296" s="114" t="s">
        <v>3392</v>
      </c>
      <c r="B296" s="114" t="s">
        <v>3422</v>
      </c>
      <c r="C296" s="115">
        <v>75.0</v>
      </c>
      <c r="D296" s="116" t="b">
        <v>0</v>
      </c>
    </row>
    <row r="297">
      <c r="A297" s="114" t="s">
        <v>3392</v>
      </c>
      <c r="B297" s="114" t="s">
        <v>3423</v>
      </c>
      <c r="C297" s="115">
        <v>200.0</v>
      </c>
      <c r="D297" s="116" t="b">
        <v>0</v>
      </c>
    </row>
    <row r="298">
      <c r="A298" s="114" t="s">
        <v>3392</v>
      </c>
      <c r="B298" s="114" t="s">
        <v>3424</v>
      </c>
      <c r="C298" s="115">
        <v>65.0</v>
      </c>
      <c r="D298" s="116" t="b">
        <v>0</v>
      </c>
    </row>
    <row r="299">
      <c r="A299" s="114" t="s">
        <v>3392</v>
      </c>
      <c r="B299" s="114" t="s">
        <v>3425</v>
      </c>
      <c r="C299" s="115">
        <v>50.0</v>
      </c>
      <c r="D299" s="116" t="b">
        <v>0</v>
      </c>
    </row>
    <row r="300">
      <c r="A300" s="114" t="s">
        <v>3392</v>
      </c>
      <c r="B300" s="114" t="s">
        <v>3426</v>
      </c>
      <c r="C300" s="115">
        <v>20.0</v>
      </c>
      <c r="D300" s="116" t="b">
        <v>0</v>
      </c>
    </row>
    <row r="301">
      <c r="A301" s="114" t="s">
        <v>3427</v>
      </c>
      <c r="B301" s="114" t="s">
        <v>3428</v>
      </c>
      <c r="C301" s="115">
        <v>155.0</v>
      </c>
      <c r="D301" s="116" t="b">
        <v>0</v>
      </c>
    </row>
    <row r="302">
      <c r="A302" s="114" t="s">
        <v>3427</v>
      </c>
      <c r="B302" s="114" t="s">
        <v>3429</v>
      </c>
      <c r="C302" s="115">
        <v>175.0</v>
      </c>
      <c r="D302" s="116" t="b">
        <v>0</v>
      </c>
    </row>
    <row r="303">
      <c r="A303" s="114" t="s">
        <v>3427</v>
      </c>
      <c r="B303" s="114" t="s">
        <v>3430</v>
      </c>
      <c r="C303" s="115">
        <v>150.0</v>
      </c>
      <c r="D303" s="116" t="b">
        <v>0</v>
      </c>
    </row>
    <row r="304">
      <c r="A304" s="114" t="s">
        <v>3427</v>
      </c>
      <c r="B304" s="114" t="s">
        <v>3299</v>
      </c>
      <c r="C304" s="115">
        <v>175.0</v>
      </c>
      <c r="D304" s="116" t="b">
        <v>0</v>
      </c>
    </row>
    <row r="305">
      <c r="A305" s="114" t="s">
        <v>3427</v>
      </c>
      <c r="B305" s="114" t="s">
        <v>307</v>
      </c>
      <c r="C305" s="115">
        <v>145.0</v>
      </c>
      <c r="D305" s="116" t="b">
        <v>0</v>
      </c>
    </row>
    <row r="306">
      <c r="A306" s="114" t="s">
        <v>3427</v>
      </c>
      <c r="B306" s="114" t="s">
        <v>3431</v>
      </c>
      <c r="C306" s="115">
        <v>175.0</v>
      </c>
      <c r="D306" s="116" t="b">
        <v>0</v>
      </c>
    </row>
    <row r="307">
      <c r="A307" s="114" t="s">
        <v>3427</v>
      </c>
      <c r="B307" s="114" t="s">
        <v>3432</v>
      </c>
      <c r="C307" s="115">
        <v>175.0</v>
      </c>
      <c r="D307" s="116" t="b">
        <v>0</v>
      </c>
    </row>
    <row r="308">
      <c r="A308" s="114" t="s">
        <v>3427</v>
      </c>
      <c r="B308" s="114" t="s">
        <v>3433</v>
      </c>
      <c r="C308" s="115">
        <v>160.0</v>
      </c>
      <c r="D308" s="116" t="b">
        <v>0</v>
      </c>
    </row>
    <row r="309">
      <c r="A309" s="114" t="s">
        <v>3427</v>
      </c>
      <c r="B309" s="114" t="s">
        <v>3434</v>
      </c>
      <c r="C309" s="115">
        <v>160.0</v>
      </c>
      <c r="D309" s="116" t="b">
        <v>0</v>
      </c>
    </row>
    <row r="310">
      <c r="A310" s="114" t="s">
        <v>3427</v>
      </c>
      <c r="B310" s="114" t="s">
        <v>3435</v>
      </c>
      <c r="C310" s="115">
        <v>450.0</v>
      </c>
      <c r="D310" s="116" t="b">
        <v>0</v>
      </c>
    </row>
    <row r="311">
      <c r="A311" s="114" t="s">
        <v>3427</v>
      </c>
      <c r="B311" s="114" t="s">
        <v>3436</v>
      </c>
      <c r="C311" s="115">
        <v>175.0</v>
      </c>
      <c r="D311" s="116" t="b">
        <v>0</v>
      </c>
    </row>
    <row r="312">
      <c r="A312" s="114" t="s">
        <v>3427</v>
      </c>
      <c r="B312" s="114" t="s">
        <v>411</v>
      </c>
      <c r="C312" s="115">
        <v>155.0</v>
      </c>
      <c r="D312" s="116" t="b">
        <v>0</v>
      </c>
    </row>
    <row r="313">
      <c r="A313" s="114" t="s">
        <v>3427</v>
      </c>
      <c r="B313" s="114" t="s">
        <v>3437</v>
      </c>
      <c r="C313" s="115">
        <v>155.0</v>
      </c>
      <c r="D313" s="116" t="b">
        <v>0</v>
      </c>
    </row>
    <row r="314">
      <c r="A314" s="114" t="s">
        <v>3427</v>
      </c>
      <c r="B314" s="114" t="s">
        <v>3438</v>
      </c>
      <c r="C314" s="115">
        <v>210.0</v>
      </c>
      <c r="D314" s="116" t="b">
        <v>0</v>
      </c>
    </row>
    <row r="315">
      <c r="A315" s="114" t="s">
        <v>3427</v>
      </c>
      <c r="B315" s="114" t="s">
        <v>3310</v>
      </c>
      <c r="C315" s="115">
        <v>325.0</v>
      </c>
      <c r="D315" s="116" t="b">
        <v>0</v>
      </c>
    </row>
    <row r="316">
      <c r="A316" s="114" t="s">
        <v>3427</v>
      </c>
      <c r="B316" s="114" t="s">
        <v>3439</v>
      </c>
      <c r="C316" s="115">
        <v>150.0</v>
      </c>
      <c r="D316" s="116" t="b">
        <v>0</v>
      </c>
    </row>
    <row r="317">
      <c r="A317" s="114" t="s">
        <v>3427</v>
      </c>
      <c r="B317" s="114" t="s">
        <v>3440</v>
      </c>
      <c r="C317" s="115">
        <v>120.0</v>
      </c>
      <c r="D317" s="116" t="b">
        <v>0</v>
      </c>
    </row>
    <row r="318">
      <c r="A318" s="114" t="s">
        <v>3427</v>
      </c>
      <c r="B318" s="114" t="s">
        <v>3441</v>
      </c>
      <c r="C318" s="115">
        <v>155.0</v>
      </c>
      <c r="D318" s="116" t="b">
        <v>0</v>
      </c>
    </row>
    <row r="319">
      <c r="A319" s="114" t="s">
        <v>3427</v>
      </c>
      <c r="B319" s="114" t="s">
        <v>3442</v>
      </c>
      <c r="C319" s="115">
        <v>165.0</v>
      </c>
      <c r="D319" s="116" t="b">
        <v>0</v>
      </c>
    </row>
    <row r="320">
      <c r="A320" s="114" t="s">
        <v>3427</v>
      </c>
      <c r="B320" s="114" t="s">
        <v>3443</v>
      </c>
      <c r="C320" s="115">
        <v>120.0</v>
      </c>
      <c r="D320" s="116" t="b">
        <v>0</v>
      </c>
    </row>
    <row r="321">
      <c r="A321" s="114" t="s">
        <v>3427</v>
      </c>
      <c r="B321" s="114" t="s">
        <v>3444</v>
      </c>
      <c r="C321" s="115">
        <v>120.0</v>
      </c>
      <c r="D321" s="116" t="b">
        <v>0</v>
      </c>
    </row>
    <row r="322">
      <c r="A322" s="114" t="s">
        <v>3427</v>
      </c>
      <c r="B322" s="114" t="s">
        <v>3445</v>
      </c>
      <c r="C322" s="115">
        <v>210.0</v>
      </c>
      <c r="D322" s="116" t="b">
        <v>0</v>
      </c>
    </row>
    <row r="323">
      <c r="A323" s="114" t="s">
        <v>3427</v>
      </c>
      <c r="B323" s="114" t="s">
        <v>3446</v>
      </c>
      <c r="C323" s="115">
        <v>145.0</v>
      </c>
      <c r="D323" s="116" t="b">
        <v>0</v>
      </c>
    </row>
    <row r="324">
      <c r="A324" s="114" t="s">
        <v>3427</v>
      </c>
      <c r="B324" s="114" t="s">
        <v>3447</v>
      </c>
      <c r="C324" s="115">
        <v>160.0</v>
      </c>
      <c r="D324" s="116" t="b">
        <v>0</v>
      </c>
    </row>
    <row r="325">
      <c r="A325" s="114" t="s">
        <v>3427</v>
      </c>
      <c r="B325" s="114" t="s">
        <v>3448</v>
      </c>
      <c r="C325" s="115">
        <v>155.0</v>
      </c>
      <c r="D325" s="116" t="b">
        <v>0</v>
      </c>
    </row>
    <row r="326">
      <c r="A326" s="114" t="s">
        <v>3427</v>
      </c>
      <c r="B326" s="114" t="s">
        <v>3449</v>
      </c>
      <c r="C326" s="115">
        <v>185.0</v>
      </c>
      <c r="D326" s="116" t="b">
        <v>0</v>
      </c>
    </row>
    <row r="327">
      <c r="A327" s="114" t="s">
        <v>3427</v>
      </c>
      <c r="B327" s="114" t="s">
        <v>3450</v>
      </c>
      <c r="C327" s="115">
        <v>155.0</v>
      </c>
      <c r="D327" s="116" t="b">
        <v>0</v>
      </c>
    </row>
    <row r="328">
      <c r="A328" s="114" t="s">
        <v>3427</v>
      </c>
      <c r="B328" s="114" t="s">
        <v>755</v>
      </c>
      <c r="C328" s="115">
        <v>155.0</v>
      </c>
      <c r="D328" s="116" t="b">
        <v>0</v>
      </c>
    </row>
    <row r="329">
      <c r="A329" s="114" t="s">
        <v>3427</v>
      </c>
      <c r="B329" s="114" t="s">
        <v>3451</v>
      </c>
      <c r="C329" s="115">
        <v>175.0</v>
      </c>
      <c r="D329" s="116" t="b">
        <v>0</v>
      </c>
    </row>
    <row r="330">
      <c r="A330" s="114" t="s">
        <v>3427</v>
      </c>
      <c r="B330" s="114" t="s">
        <v>3323</v>
      </c>
      <c r="C330" s="115">
        <v>185.0</v>
      </c>
      <c r="D330" s="116" t="b">
        <v>0</v>
      </c>
    </row>
    <row r="331">
      <c r="A331" s="114" t="s">
        <v>3427</v>
      </c>
      <c r="B331" s="114" t="s">
        <v>3324</v>
      </c>
      <c r="C331" s="115">
        <v>295.0</v>
      </c>
      <c r="D331" s="116" t="b">
        <v>0</v>
      </c>
    </row>
    <row r="332">
      <c r="A332" s="114" t="s">
        <v>3427</v>
      </c>
      <c r="B332" s="114" t="s">
        <v>809</v>
      </c>
      <c r="C332" s="115">
        <v>155.0</v>
      </c>
      <c r="D332" s="116" t="b">
        <v>0</v>
      </c>
    </row>
    <row r="333">
      <c r="A333" s="114" t="s">
        <v>3427</v>
      </c>
      <c r="B333" s="114" t="s">
        <v>3452</v>
      </c>
      <c r="C333" s="115">
        <v>175.0</v>
      </c>
      <c r="D333" s="116" t="b">
        <v>0</v>
      </c>
    </row>
    <row r="334">
      <c r="A334" s="114" t="s">
        <v>3427</v>
      </c>
      <c r="B334" s="114" t="s">
        <v>3453</v>
      </c>
      <c r="C334" s="115">
        <v>145.0</v>
      </c>
      <c r="D334" s="116" t="b">
        <v>0</v>
      </c>
    </row>
    <row r="335">
      <c r="A335" s="114" t="s">
        <v>3427</v>
      </c>
      <c r="B335" s="114" t="s">
        <v>3454</v>
      </c>
      <c r="C335" s="115">
        <v>145.0</v>
      </c>
      <c r="D335" s="116" t="b">
        <v>0</v>
      </c>
    </row>
    <row r="336">
      <c r="A336" s="114" t="s">
        <v>3427</v>
      </c>
      <c r="B336" s="114" t="s">
        <v>3455</v>
      </c>
      <c r="C336" s="115">
        <v>145.0</v>
      </c>
      <c r="D336" s="116" t="b">
        <v>0</v>
      </c>
    </row>
    <row r="337">
      <c r="A337" s="114" t="s">
        <v>3427</v>
      </c>
      <c r="B337" s="114" t="s">
        <v>3456</v>
      </c>
      <c r="C337" s="115">
        <v>165.0</v>
      </c>
      <c r="D337" s="116" t="b">
        <v>0</v>
      </c>
    </row>
    <row r="338">
      <c r="A338" s="114" t="s">
        <v>3427</v>
      </c>
      <c r="B338" s="114" t="s">
        <v>867</v>
      </c>
      <c r="C338" s="115">
        <v>215.0</v>
      </c>
      <c r="D338" s="116" t="b">
        <v>0</v>
      </c>
    </row>
    <row r="339">
      <c r="A339" s="114" t="s">
        <v>3427</v>
      </c>
      <c r="B339" s="114" t="s">
        <v>3457</v>
      </c>
      <c r="C339" s="115">
        <v>155.0</v>
      </c>
      <c r="D339" s="116" t="b">
        <v>0</v>
      </c>
    </row>
    <row r="340">
      <c r="A340" s="114" t="s">
        <v>3427</v>
      </c>
      <c r="B340" s="114" t="s">
        <v>3458</v>
      </c>
      <c r="C340" s="115">
        <v>145.0</v>
      </c>
      <c r="D340" s="116" t="b">
        <v>0</v>
      </c>
    </row>
    <row r="341">
      <c r="A341" s="114" t="s">
        <v>3427</v>
      </c>
      <c r="B341" s="114" t="s">
        <v>3459</v>
      </c>
      <c r="C341" s="115">
        <v>155.0</v>
      </c>
      <c r="D341" s="116" t="b">
        <v>0</v>
      </c>
    </row>
    <row r="342">
      <c r="A342" s="114" t="s">
        <v>3427</v>
      </c>
      <c r="B342" s="114" t="s">
        <v>3460</v>
      </c>
      <c r="C342" s="115">
        <v>120.0</v>
      </c>
      <c r="D342" s="116" t="b">
        <v>0</v>
      </c>
    </row>
    <row r="343">
      <c r="A343" s="114" t="s">
        <v>3427</v>
      </c>
      <c r="B343" s="114" t="s">
        <v>3461</v>
      </c>
      <c r="C343" s="115">
        <v>185.0</v>
      </c>
      <c r="D343" s="116" t="b">
        <v>0</v>
      </c>
    </row>
    <row r="344">
      <c r="A344" s="114" t="s">
        <v>3427</v>
      </c>
      <c r="B344" s="114" t="s">
        <v>957</v>
      </c>
      <c r="C344" s="115">
        <v>190.0</v>
      </c>
      <c r="D344" s="116" t="b">
        <v>0</v>
      </c>
    </row>
    <row r="345">
      <c r="A345" s="114" t="s">
        <v>3427</v>
      </c>
      <c r="B345" s="114" t="s">
        <v>988</v>
      </c>
      <c r="C345" s="115">
        <v>155.0</v>
      </c>
      <c r="D345" s="116" t="b">
        <v>0</v>
      </c>
    </row>
    <row r="346">
      <c r="A346" s="114" t="s">
        <v>3427</v>
      </c>
      <c r="B346" s="114" t="s">
        <v>3462</v>
      </c>
      <c r="C346" s="115">
        <v>145.0</v>
      </c>
      <c r="D346" s="116" t="b">
        <v>0</v>
      </c>
    </row>
    <row r="347">
      <c r="A347" s="114" t="s">
        <v>3427</v>
      </c>
      <c r="B347" s="114" t="s">
        <v>3463</v>
      </c>
      <c r="C347" s="115">
        <v>120.0</v>
      </c>
      <c r="D347" s="116" t="b">
        <v>0</v>
      </c>
    </row>
    <row r="348">
      <c r="A348" s="114" t="s">
        <v>3427</v>
      </c>
      <c r="B348" s="114" t="s">
        <v>3464</v>
      </c>
      <c r="C348" s="115">
        <v>165.0</v>
      </c>
      <c r="D348" s="116" t="b">
        <v>0</v>
      </c>
    </row>
    <row r="349">
      <c r="A349" s="114" t="s">
        <v>3427</v>
      </c>
      <c r="B349" s="114" t="s">
        <v>3465</v>
      </c>
      <c r="C349" s="115">
        <v>165.0</v>
      </c>
      <c r="D349" s="116" t="b">
        <v>0</v>
      </c>
    </row>
    <row r="350">
      <c r="A350" s="114" t="s">
        <v>3427</v>
      </c>
      <c r="B350" s="114" t="s">
        <v>3466</v>
      </c>
      <c r="C350" s="115">
        <v>160.0</v>
      </c>
      <c r="D350" s="116" t="b">
        <v>0</v>
      </c>
    </row>
    <row r="351">
      <c r="A351" s="114" t="s">
        <v>3427</v>
      </c>
      <c r="B351" s="114" t="s">
        <v>3467</v>
      </c>
      <c r="C351" s="115">
        <v>215.0</v>
      </c>
      <c r="D351" s="116" t="b">
        <v>0</v>
      </c>
    </row>
    <row r="352">
      <c r="A352" s="114" t="s">
        <v>3427</v>
      </c>
      <c r="B352" s="114" t="s">
        <v>3230</v>
      </c>
      <c r="C352" s="115">
        <v>165.0</v>
      </c>
      <c r="D352" s="116" t="b">
        <v>0</v>
      </c>
    </row>
    <row r="353">
      <c r="A353" s="114" t="s">
        <v>3427</v>
      </c>
      <c r="B353" s="114" t="s">
        <v>3468</v>
      </c>
      <c r="C353" s="115">
        <v>165.0</v>
      </c>
      <c r="D353" s="116" t="b">
        <v>0</v>
      </c>
    </row>
    <row r="354">
      <c r="A354" s="114" t="s">
        <v>3427</v>
      </c>
      <c r="B354" s="114" t="s">
        <v>3469</v>
      </c>
      <c r="C354" s="115">
        <v>125.0</v>
      </c>
      <c r="D354" s="116" t="b">
        <v>0</v>
      </c>
    </row>
    <row r="355">
      <c r="A355" s="114" t="s">
        <v>3427</v>
      </c>
      <c r="B355" s="114" t="s">
        <v>3470</v>
      </c>
      <c r="C355" s="115">
        <v>190.0</v>
      </c>
      <c r="D355" s="116" t="b">
        <v>0</v>
      </c>
    </row>
    <row r="356">
      <c r="A356" s="114" t="s">
        <v>3427</v>
      </c>
      <c r="B356" s="114" t="s">
        <v>3471</v>
      </c>
      <c r="C356" s="115">
        <v>190.0</v>
      </c>
      <c r="D356" s="116" t="b">
        <v>0</v>
      </c>
    </row>
    <row r="357">
      <c r="A357" s="114" t="s">
        <v>3427</v>
      </c>
      <c r="B357" s="114" t="s">
        <v>3472</v>
      </c>
      <c r="C357" s="115">
        <v>175.0</v>
      </c>
      <c r="D357" s="116" t="b">
        <v>0</v>
      </c>
    </row>
    <row r="358">
      <c r="A358" s="114" t="s">
        <v>3427</v>
      </c>
      <c r="B358" s="114" t="s">
        <v>3473</v>
      </c>
      <c r="C358" s="115">
        <v>155.0</v>
      </c>
      <c r="D358" s="116" t="b">
        <v>0</v>
      </c>
    </row>
    <row r="359">
      <c r="A359" s="114" t="s">
        <v>3427</v>
      </c>
      <c r="B359" s="114" t="s">
        <v>3474</v>
      </c>
      <c r="C359" s="115">
        <v>155.0</v>
      </c>
      <c r="D359" s="116" t="b">
        <v>0</v>
      </c>
    </row>
    <row r="360">
      <c r="A360" s="114" t="s">
        <v>3427</v>
      </c>
      <c r="B360" s="114" t="s">
        <v>3475</v>
      </c>
      <c r="C360" s="115">
        <v>195.0</v>
      </c>
      <c r="D360" s="116" t="b">
        <v>0</v>
      </c>
    </row>
    <row r="361">
      <c r="A361" s="114" t="s">
        <v>3427</v>
      </c>
      <c r="B361" s="114" t="s">
        <v>3234</v>
      </c>
      <c r="C361" s="115">
        <v>155.0</v>
      </c>
      <c r="D361" s="116" t="b">
        <v>0</v>
      </c>
    </row>
    <row r="362">
      <c r="A362" s="114" t="s">
        <v>3427</v>
      </c>
      <c r="B362" s="114" t="s">
        <v>3476</v>
      </c>
      <c r="C362" s="115">
        <v>175.0</v>
      </c>
      <c r="D362" s="116" t="b">
        <v>0</v>
      </c>
    </row>
    <row r="363">
      <c r="A363" s="114" t="s">
        <v>3427</v>
      </c>
      <c r="B363" s="114" t="s">
        <v>1574</v>
      </c>
      <c r="C363" s="115">
        <v>150.0</v>
      </c>
      <c r="D363" s="116" t="b">
        <v>0</v>
      </c>
    </row>
    <row r="364">
      <c r="A364" s="114" t="s">
        <v>3427</v>
      </c>
      <c r="B364" s="114" t="s">
        <v>3477</v>
      </c>
      <c r="C364" s="115">
        <v>155.0</v>
      </c>
      <c r="D364" s="116" t="b">
        <v>0</v>
      </c>
    </row>
    <row r="365">
      <c r="A365" s="114" t="s">
        <v>3427</v>
      </c>
      <c r="B365" s="114" t="s">
        <v>1644</v>
      </c>
      <c r="C365" s="115">
        <v>155.0</v>
      </c>
      <c r="D365" s="116" t="b">
        <v>0</v>
      </c>
    </row>
    <row r="366">
      <c r="A366" s="114" t="s">
        <v>3427</v>
      </c>
      <c r="B366" s="114" t="s">
        <v>3478</v>
      </c>
      <c r="C366" s="115">
        <v>175.0</v>
      </c>
      <c r="D366" s="116" t="b">
        <v>0</v>
      </c>
    </row>
    <row r="367">
      <c r="A367" s="114" t="s">
        <v>3427</v>
      </c>
      <c r="B367" s="114" t="s">
        <v>3479</v>
      </c>
      <c r="C367" s="115">
        <v>155.0</v>
      </c>
      <c r="D367" s="116" t="b">
        <v>0</v>
      </c>
    </row>
    <row r="368">
      <c r="A368" s="114" t="s">
        <v>3427</v>
      </c>
      <c r="B368" s="114" t="s">
        <v>3480</v>
      </c>
      <c r="C368" s="115">
        <v>125.0</v>
      </c>
      <c r="D368" s="116" t="b">
        <v>0</v>
      </c>
    </row>
    <row r="369">
      <c r="A369" s="114" t="s">
        <v>3427</v>
      </c>
      <c r="B369" s="114" t="s">
        <v>3481</v>
      </c>
      <c r="C369" s="115">
        <v>155.0</v>
      </c>
      <c r="D369" s="116" t="b">
        <v>0</v>
      </c>
    </row>
    <row r="370">
      <c r="A370" s="114" t="s">
        <v>3427</v>
      </c>
      <c r="B370" s="114" t="s">
        <v>3482</v>
      </c>
      <c r="C370" s="115">
        <v>200.0</v>
      </c>
      <c r="D370" s="116" t="b">
        <v>0</v>
      </c>
    </row>
    <row r="371">
      <c r="A371" s="114" t="s">
        <v>3427</v>
      </c>
      <c r="B371" s="114" t="s">
        <v>3483</v>
      </c>
      <c r="C371" s="115">
        <v>200.0</v>
      </c>
      <c r="D371" s="116" t="b">
        <v>0</v>
      </c>
    </row>
    <row r="372">
      <c r="A372" s="114" t="s">
        <v>3427</v>
      </c>
      <c r="B372" s="114" t="s">
        <v>3484</v>
      </c>
      <c r="C372" s="115">
        <v>210.0</v>
      </c>
      <c r="D372" s="116" t="b">
        <v>0</v>
      </c>
    </row>
    <row r="373">
      <c r="A373" s="114" t="s">
        <v>3427</v>
      </c>
      <c r="B373" s="114" t="s">
        <v>1873</v>
      </c>
      <c r="C373" s="115">
        <v>165.0</v>
      </c>
      <c r="D373" s="116" t="b">
        <v>0</v>
      </c>
    </row>
    <row r="374">
      <c r="A374" s="114" t="s">
        <v>3427</v>
      </c>
      <c r="B374" s="114" t="s">
        <v>3485</v>
      </c>
      <c r="C374" s="115">
        <v>210.0</v>
      </c>
      <c r="D374" s="116" t="b">
        <v>0</v>
      </c>
    </row>
    <row r="375">
      <c r="A375" s="114" t="s">
        <v>3427</v>
      </c>
      <c r="B375" s="114" t="s">
        <v>3486</v>
      </c>
      <c r="C375" s="115">
        <v>175.0</v>
      </c>
      <c r="D375" s="116" t="b">
        <v>0</v>
      </c>
    </row>
    <row r="376">
      <c r="A376" s="114" t="s">
        <v>3427</v>
      </c>
      <c r="B376" s="114" t="s">
        <v>3487</v>
      </c>
      <c r="C376" s="115">
        <v>175.0</v>
      </c>
      <c r="D376" s="116" t="b">
        <v>0</v>
      </c>
    </row>
    <row r="377">
      <c r="A377" s="114" t="s">
        <v>3427</v>
      </c>
      <c r="B377" s="114" t="s">
        <v>3488</v>
      </c>
      <c r="C377" s="115">
        <v>125.0</v>
      </c>
      <c r="D377" s="116" t="b">
        <v>0</v>
      </c>
    </row>
    <row r="378">
      <c r="A378" s="114" t="s">
        <v>3427</v>
      </c>
      <c r="B378" s="114" t="s">
        <v>3489</v>
      </c>
      <c r="C378" s="115">
        <v>150.0</v>
      </c>
      <c r="D378" s="116" t="b">
        <v>0</v>
      </c>
    </row>
    <row r="379">
      <c r="A379" s="114" t="s">
        <v>3427</v>
      </c>
      <c r="B379" s="114" t="s">
        <v>2010</v>
      </c>
      <c r="C379" s="115">
        <v>190.0</v>
      </c>
      <c r="D379" s="116" t="b">
        <v>0</v>
      </c>
    </row>
    <row r="380">
      <c r="A380" s="114" t="s">
        <v>3427</v>
      </c>
      <c r="B380" s="114" t="s">
        <v>2086</v>
      </c>
      <c r="C380" s="115">
        <v>150.0</v>
      </c>
      <c r="D380" s="116" t="b">
        <v>0</v>
      </c>
    </row>
    <row r="381">
      <c r="A381" s="114" t="s">
        <v>3427</v>
      </c>
      <c r="B381" s="114" t="s">
        <v>3490</v>
      </c>
      <c r="C381" s="115">
        <v>125.0</v>
      </c>
      <c r="D381" s="116" t="b">
        <v>0</v>
      </c>
    </row>
    <row r="382">
      <c r="A382" s="114" t="s">
        <v>3427</v>
      </c>
      <c r="B382" s="114" t="s">
        <v>3490</v>
      </c>
      <c r="C382" s="115">
        <v>125.0</v>
      </c>
      <c r="D382" s="116" t="b">
        <v>0</v>
      </c>
    </row>
    <row r="383">
      <c r="A383" s="114" t="s">
        <v>3427</v>
      </c>
      <c r="B383" s="114" t="s">
        <v>3491</v>
      </c>
      <c r="C383" s="115">
        <v>125.0</v>
      </c>
      <c r="D383" s="116" t="b">
        <v>0</v>
      </c>
    </row>
    <row r="384">
      <c r="A384" s="114" t="s">
        <v>3427</v>
      </c>
      <c r="B384" s="114" t="s">
        <v>3492</v>
      </c>
      <c r="C384" s="115">
        <v>220.0</v>
      </c>
      <c r="D384" s="116" t="b">
        <v>0</v>
      </c>
    </row>
    <row r="385">
      <c r="A385" s="114" t="s">
        <v>3427</v>
      </c>
      <c r="B385" s="114" t="s">
        <v>3493</v>
      </c>
      <c r="C385" s="115">
        <v>210.0</v>
      </c>
      <c r="D385" s="116" t="b">
        <v>0</v>
      </c>
    </row>
    <row r="386">
      <c r="A386" s="114" t="s">
        <v>3427</v>
      </c>
      <c r="B386" s="114" t="s">
        <v>3494</v>
      </c>
      <c r="C386" s="115">
        <v>155.0</v>
      </c>
      <c r="D386" s="116" t="b">
        <v>0</v>
      </c>
    </row>
    <row r="387">
      <c r="A387" s="114" t="s">
        <v>3427</v>
      </c>
      <c r="B387" s="114" t="s">
        <v>3495</v>
      </c>
      <c r="C387" s="115">
        <v>210.0</v>
      </c>
      <c r="D387" s="116" t="b">
        <v>0</v>
      </c>
    </row>
    <row r="388">
      <c r="A388" s="114" t="s">
        <v>3427</v>
      </c>
      <c r="B388" s="114" t="s">
        <v>3496</v>
      </c>
      <c r="C388" s="115">
        <v>120.0</v>
      </c>
      <c r="D388" s="116" t="b">
        <v>0</v>
      </c>
    </row>
    <row r="389">
      <c r="A389" s="114" t="s">
        <v>3427</v>
      </c>
      <c r="B389" s="114" t="s">
        <v>3497</v>
      </c>
      <c r="C389" s="115">
        <v>160.0</v>
      </c>
      <c r="D389" s="116" t="b">
        <v>0</v>
      </c>
    </row>
    <row r="390">
      <c r="A390" s="114" t="s">
        <v>3427</v>
      </c>
      <c r="B390" s="114" t="s">
        <v>3498</v>
      </c>
      <c r="C390" s="115">
        <v>175.0</v>
      </c>
      <c r="D390" s="116" t="b">
        <v>0</v>
      </c>
    </row>
    <row r="391">
      <c r="A391" s="114" t="s">
        <v>3427</v>
      </c>
      <c r="B391" s="114" t="s">
        <v>2482</v>
      </c>
      <c r="C391" s="115">
        <v>155.0</v>
      </c>
      <c r="D391" s="116" t="b">
        <v>0</v>
      </c>
    </row>
    <row r="392">
      <c r="A392" s="114" t="s">
        <v>3427</v>
      </c>
      <c r="B392" s="114" t="s">
        <v>3499</v>
      </c>
      <c r="C392" s="115">
        <v>155.0</v>
      </c>
      <c r="D392" s="116" t="b">
        <v>0</v>
      </c>
    </row>
    <row r="393">
      <c r="A393" s="114" t="s">
        <v>3427</v>
      </c>
      <c r="B393" s="114" t="s">
        <v>2365</v>
      </c>
      <c r="C393" s="115">
        <v>175.0</v>
      </c>
      <c r="D393" s="116" t="b">
        <v>0</v>
      </c>
    </row>
    <row r="394">
      <c r="A394" s="114" t="s">
        <v>3427</v>
      </c>
      <c r="B394" s="114" t="s">
        <v>3500</v>
      </c>
      <c r="C394" s="115">
        <v>175.0</v>
      </c>
      <c r="D394" s="116" t="b">
        <v>0</v>
      </c>
    </row>
    <row r="395">
      <c r="A395" s="114" t="s">
        <v>3427</v>
      </c>
      <c r="B395" s="114" t="s">
        <v>3501</v>
      </c>
      <c r="C395" s="115">
        <v>155.0</v>
      </c>
      <c r="D395" s="116" t="b">
        <v>0</v>
      </c>
    </row>
    <row r="396">
      <c r="A396" s="114" t="s">
        <v>3427</v>
      </c>
      <c r="B396" s="114" t="s">
        <v>3502</v>
      </c>
      <c r="C396" s="115">
        <v>245.0</v>
      </c>
      <c r="D396" s="116" t="b">
        <v>0</v>
      </c>
    </row>
    <row r="397">
      <c r="A397" s="114" t="s">
        <v>3427</v>
      </c>
      <c r="B397" s="114" t="s">
        <v>3503</v>
      </c>
      <c r="C397" s="115">
        <v>175.0</v>
      </c>
      <c r="D397" s="116" t="b">
        <v>0</v>
      </c>
    </row>
    <row r="398">
      <c r="A398" s="114" t="s">
        <v>3427</v>
      </c>
      <c r="B398" s="114" t="s">
        <v>3504</v>
      </c>
      <c r="C398" s="115">
        <v>295.0</v>
      </c>
      <c r="D398" s="116" t="b">
        <v>0</v>
      </c>
    </row>
    <row r="399">
      <c r="A399" s="114" t="s">
        <v>3427</v>
      </c>
      <c r="B399" s="114" t="s">
        <v>3505</v>
      </c>
      <c r="C399" s="115">
        <v>170.0</v>
      </c>
      <c r="D399" s="116" t="b">
        <v>0</v>
      </c>
    </row>
    <row r="400">
      <c r="A400" s="114" t="s">
        <v>3427</v>
      </c>
      <c r="B400" s="114" t="s">
        <v>3506</v>
      </c>
      <c r="C400" s="115">
        <v>175.0</v>
      </c>
      <c r="D400" s="116" t="b">
        <v>0</v>
      </c>
    </row>
    <row r="401">
      <c r="A401" s="114" t="s">
        <v>3427</v>
      </c>
      <c r="B401" s="114" t="s">
        <v>3507</v>
      </c>
      <c r="C401" s="115">
        <v>175.0</v>
      </c>
      <c r="D401" s="116" t="b">
        <v>0</v>
      </c>
    </row>
    <row r="402">
      <c r="A402" s="114" t="s">
        <v>3427</v>
      </c>
      <c r="B402" s="114" t="s">
        <v>3508</v>
      </c>
      <c r="C402" s="115">
        <v>155.0</v>
      </c>
      <c r="D402" s="116" t="b">
        <v>0</v>
      </c>
    </row>
    <row r="403">
      <c r="A403" s="114" t="s">
        <v>3427</v>
      </c>
      <c r="B403" s="114" t="s">
        <v>3509</v>
      </c>
      <c r="C403" s="115">
        <v>120.0</v>
      </c>
      <c r="D403" s="116" t="b">
        <v>0</v>
      </c>
    </row>
    <row r="404">
      <c r="A404" s="114" t="s">
        <v>3427</v>
      </c>
      <c r="B404" s="114" t="s">
        <v>3510</v>
      </c>
      <c r="C404" s="115">
        <v>120.0</v>
      </c>
      <c r="D404" s="116" t="b">
        <v>0</v>
      </c>
    </row>
    <row r="405">
      <c r="A405" s="114" t="s">
        <v>3511</v>
      </c>
      <c r="B405" s="114" t="s">
        <v>3512</v>
      </c>
      <c r="C405" s="115">
        <v>120.0</v>
      </c>
      <c r="D405" s="116" t="b">
        <v>0</v>
      </c>
    </row>
    <row r="406">
      <c r="A406" s="114" t="s">
        <v>3511</v>
      </c>
      <c r="B406" s="114" t="s">
        <v>3513</v>
      </c>
      <c r="C406" s="115">
        <v>120.0</v>
      </c>
      <c r="D406" s="116" t="b">
        <v>0</v>
      </c>
    </row>
    <row r="407">
      <c r="A407" s="114" t="s">
        <v>3511</v>
      </c>
      <c r="B407" s="114" t="s">
        <v>3514</v>
      </c>
      <c r="C407" s="115">
        <v>120.0</v>
      </c>
      <c r="D407" s="116" t="b">
        <v>0</v>
      </c>
    </row>
    <row r="408">
      <c r="A408" s="114" t="s">
        <v>3511</v>
      </c>
      <c r="B408" s="114" t="s">
        <v>3515</v>
      </c>
      <c r="C408" s="115">
        <v>120.0</v>
      </c>
      <c r="D408" s="116" t="b">
        <v>0</v>
      </c>
    </row>
    <row r="409">
      <c r="A409" s="114" t="s">
        <v>3511</v>
      </c>
      <c r="B409" s="114" t="s">
        <v>3516</v>
      </c>
      <c r="C409" s="115">
        <v>120.0</v>
      </c>
      <c r="D409" s="116" t="b">
        <v>0</v>
      </c>
    </row>
    <row r="410">
      <c r="A410" s="114" t="s">
        <v>3511</v>
      </c>
      <c r="B410" s="114" t="s">
        <v>3517</v>
      </c>
      <c r="C410" s="115">
        <v>120.0</v>
      </c>
      <c r="D410" s="116" t="b">
        <v>0</v>
      </c>
    </row>
    <row r="411">
      <c r="A411" s="114" t="s">
        <v>3511</v>
      </c>
      <c r="B411" s="114" t="s">
        <v>3518</v>
      </c>
      <c r="C411" s="115">
        <v>120.0</v>
      </c>
      <c r="D411" s="116" t="b">
        <v>0</v>
      </c>
    </row>
    <row r="412">
      <c r="A412" s="114" t="s">
        <v>3511</v>
      </c>
      <c r="B412" s="114" t="s">
        <v>3519</v>
      </c>
      <c r="C412" s="115">
        <v>120.0</v>
      </c>
      <c r="D412" s="116" t="b">
        <v>0</v>
      </c>
    </row>
    <row r="413">
      <c r="A413" s="114" t="s">
        <v>3520</v>
      </c>
      <c r="B413" s="114" t="s">
        <v>3521</v>
      </c>
      <c r="C413" s="115">
        <v>40.0</v>
      </c>
      <c r="D413" s="116" t="b">
        <v>0</v>
      </c>
    </row>
    <row r="414">
      <c r="A414" s="114" t="s">
        <v>3520</v>
      </c>
      <c r="B414" s="114" t="s">
        <v>3522</v>
      </c>
      <c r="C414" s="115">
        <v>40.0</v>
      </c>
      <c r="D414" s="116" t="b">
        <v>0</v>
      </c>
    </row>
    <row r="415">
      <c r="A415" s="114" t="s">
        <v>3520</v>
      </c>
      <c r="B415" s="114" t="s">
        <v>3523</v>
      </c>
      <c r="C415" s="115">
        <v>40.0</v>
      </c>
      <c r="D415" s="116" t="b">
        <v>0</v>
      </c>
    </row>
    <row r="416">
      <c r="A416" s="114" t="s">
        <v>3520</v>
      </c>
      <c r="B416" s="114" t="s">
        <v>3523</v>
      </c>
      <c r="C416" s="115">
        <v>40.0</v>
      </c>
      <c r="D416" s="116" t="b">
        <v>0</v>
      </c>
    </row>
    <row r="417">
      <c r="A417" s="114" t="s">
        <v>3520</v>
      </c>
      <c r="B417" s="114" t="s">
        <v>3524</v>
      </c>
      <c r="C417" s="115">
        <v>40.0</v>
      </c>
      <c r="D417" s="116" t="b">
        <v>0</v>
      </c>
    </row>
    <row r="418">
      <c r="A418" s="117"/>
      <c r="B418" s="117"/>
      <c r="C418" s="117"/>
      <c r="D418" s="117"/>
    </row>
    <row r="419">
      <c r="A419" s="117"/>
      <c r="B419" s="118" t="s">
        <v>3525</v>
      </c>
      <c r="C419" s="119">
        <v>820.0</v>
      </c>
      <c r="D419" s="117"/>
    </row>
    <row r="420">
      <c r="A420" s="117"/>
      <c r="B420" s="118" t="s">
        <v>3526</v>
      </c>
      <c r="C420" s="119">
        <v>902.0</v>
      </c>
      <c r="D420" s="117"/>
    </row>
    <row r="421">
      <c r="A421" s="117"/>
      <c r="B421" s="118" t="s">
        <v>3527</v>
      </c>
      <c r="C421" s="119">
        <v>25.0</v>
      </c>
      <c r="D421" s="117"/>
    </row>
    <row r="422">
      <c r="A422" s="117"/>
      <c r="B422" s="120" t="s">
        <v>3528</v>
      </c>
      <c r="C422" s="121">
        <v>927.0</v>
      </c>
      <c r="D422" s="1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2"/>
      <c r="B1" s="122"/>
      <c r="C1" s="122"/>
      <c r="D1" s="122"/>
      <c r="E1" s="122"/>
      <c r="F1" s="122"/>
      <c r="G1" s="122"/>
      <c r="H1" s="122"/>
    </row>
    <row r="2">
      <c r="A2" s="123"/>
      <c r="B2" s="123"/>
      <c r="C2" s="123"/>
      <c r="D2" s="124"/>
      <c r="E2" s="123"/>
      <c r="F2" s="123"/>
      <c r="G2" s="123"/>
      <c r="H2" s="123"/>
    </row>
    <row r="3">
      <c r="A3" s="125"/>
      <c r="B3" s="126"/>
      <c r="C3" s="126"/>
      <c r="D3" s="126"/>
      <c r="E3" s="127"/>
      <c r="F3" s="128"/>
      <c r="G3" s="128"/>
      <c r="H3" s="125"/>
    </row>
    <row r="4">
      <c r="A4" s="125"/>
      <c r="B4" s="123"/>
      <c r="E4" s="123"/>
      <c r="F4" s="123"/>
      <c r="G4" s="123"/>
      <c r="H4" s="125"/>
    </row>
    <row r="5">
      <c r="A5" s="125"/>
      <c r="B5" s="129"/>
      <c r="E5" s="123"/>
      <c r="F5" s="123"/>
      <c r="G5" s="123"/>
      <c r="H5" s="125"/>
    </row>
    <row r="6">
      <c r="A6" s="130"/>
      <c r="B6" s="131"/>
      <c r="D6" s="131"/>
      <c r="E6" s="131"/>
      <c r="F6" s="131"/>
      <c r="G6" s="131"/>
      <c r="H6" s="130"/>
    </row>
    <row r="7">
      <c r="A7" s="130"/>
      <c r="B7" s="132" t="s">
        <v>3529</v>
      </c>
      <c r="F7" s="125"/>
      <c r="G7" s="125"/>
      <c r="H7" s="130"/>
    </row>
    <row r="8">
      <c r="A8" s="130"/>
      <c r="B8" s="133" t="s">
        <v>3530</v>
      </c>
      <c r="D8" s="123"/>
      <c r="E8" s="123"/>
      <c r="F8" s="123"/>
      <c r="G8" s="123"/>
      <c r="H8" s="131"/>
    </row>
    <row r="9">
      <c r="A9" s="134"/>
      <c r="B9" s="135" t="s">
        <v>3531</v>
      </c>
      <c r="D9" s="136"/>
      <c r="F9" s="135" t="s">
        <v>3532</v>
      </c>
      <c r="H9" s="134"/>
    </row>
    <row r="10">
      <c r="A10" s="130"/>
      <c r="B10" s="131"/>
      <c r="D10" s="137"/>
      <c r="F10" s="137"/>
      <c r="H10" s="130"/>
    </row>
    <row r="11">
      <c r="A11" s="130"/>
      <c r="B11" s="131"/>
      <c r="D11" s="126"/>
      <c r="E11" s="126"/>
      <c r="F11" s="135" t="s">
        <v>3533</v>
      </c>
      <c r="H11" s="130"/>
    </row>
    <row r="12">
      <c r="A12" s="130"/>
      <c r="B12" s="131"/>
      <c r="D12" s="126"/>
      <c r="E12" s="126"/>
      <c r="F12" s="137"/>
      <c r="H12" s="130"/>
    </row>
    <row r="13">
      <c r="A13" s="125"/>
      <c r="B13" s="138"/>
      <c r="C13" s="139"/>
      <c r="D13" s="138"/>
      <c r="E13" s="139"/>
      <c r="F13" s="138"/>
      <c r="G13" s="139"/>
      <c r="H13" s="125"/>
    </row>
    <row r="14">
      <c r="A14" s="130"/>
      <c r="B14" s="140" t="s">
        <v>3534</v>
      </c>
      <c r="E14" s="141" t="s">
        <v>90</v>
      </c>
      <c r="F14" s="141" t="s">
        <v>3535</v>
      </c>
      <c r="G14" s="141" t="s">
        <v>3536</v>
      </c>
      <c r="H14" s="130"/>
    </row>
    <row r="15">
      <c r="A15" s="130"/>
      <c r="B15" s="142"/>
      <c r="E15" s="143"/>
      <c r="F15" s="144">
        <v>0.0</v>
      </c>
      <c r="G15" s="145">
        <v>0.0</v>
      </c>
      <c r="H15" s="130"/>
    </row>
    <row r="16">
      <c r="A16" s="146"/>
      <c r="B16" s="147"/>
      <c r="E16" s="148"/>
      <c r="F16" s="149">
        <v>0.0</v>
      </c>
      <c r="G16" s="150">
        <v>0.0</v>
      </c>
      <c r="H16" s="146"/>
    </row>
    <row r="17">
      <c r="A17" s="146"/>
      <c r="B17" s="142"/>
      <c r="E17" s="143"/>
      <c r="F17" s="144">
        <v>0.0</v>
      </c>
      <c r="G17" s="145">
        <v>0.0</v>
      </c>
      <c r="H17" s="146"/>
    </row>
    <row r="18">
      <c r="A18" s="130"/>
      <c r="B18" s="151"/>
      <c r="E18" s="148"/>
      <c r="F18" s="149">
        <v>0.0</v>
      </c>
      <c r="G18" s="150">
        <v>0.0</v>
      </c>
      <c r="H18" s="130"/>
    </row>
    <row r="19">
      <c r="A19" s="130"/>
      <c r="B19" s="152"/>
      <c r="C19" s="142"/>
      <c r="D19" s="153"/>
      <c r="E19" s="143"/>
      <c r="F19" s="144">
        <v>0.0</v>
      </c>
      <c r="G19" s="145">
        <v>0.0</v>
      </c>
      <c r="H19" s="130"/>
    </row>
    <row r="20">
      <c r="A20" s="125"/>
      <c r="B20" s="154" t="s">
        <v>3537</v>
      </c>
      <c r="C20" s="155"/>
      <c r="D20" s="156"/>
      <c r="E20" s="156"/>
      <c r="F20" s="157" t="s">
        <v>3538</v>
      </c>
      <c r="G20" s="158">
        <v>0.0</v>
      </c>
      <c r="H20" s="125"/>
    </row>
    <row r="21">
      <c r="A21" s="125"/>
      <c r="B21" s="159"/>
      <c r="F21" s="160" t="s">
        <v>3539</v>
      </c>
      <c r="G21" s="161">
        <v>0.0</v>
      </c>
      <c r="H21" s="125"/>
    </row>
    <row r="22">
      <c r="A22" s="162"/>
      <c r="F22" s="163">
        <v>0.0</v>
      </c>
      <c r="H22" s="162"/>
    </row>
    <row r="23">
      <c r="A23" s="131"/>
      <c r="B23" s="164" t="s">
        <v>3540</v>
      </c>
      <c r="H23" s="131"/>
    </row>
    <row r="24">
      <c r="A24" s="130"/>
      <c r="H24" s="130"/>
    </row>
    <row r="25">
      <c r="A25" s="125"/>
      <c r="H25" s="125"/>
    </row>
    <row r="26">
      <c r="A26" s="130"/>
      <c r="H26" s="130"/>
    </row>
    <row r="27">
      <c r="A27" s="130"/>
      <c r="H27" s="130"/>
    </row>
  </sheetData>
  <mergeCells count="27">
    <mergeCell ref="B4:D4"/>
    <mergeCell ref="B5:D5"/>
    <mergeCell ref="B6:C6"/>
    <mergeCell ref="B7:E7"/>
    <mergeCell ref="B8:C8"/>
    <mergeCell ref="D9:E9"/>
    <mergeCell ref="F9:G9"/>
    <mergeCell ref="B9:C9"/>
    <mergeCell ref="B10:C10"/>
    <mergeCell ref="D10:E10"/>
    <mergeCell ref="F10:G10"/>
    <mergeCell ref="B11:C11"/>
    <mergeCell ref="F11:G11"/>
    <mergeCell ref="F12:G12"/>
    <mergeCell ref="B17:D17"/>
    <mergeCell ref="B18:D18"/>
    <mergeCell ref="C20:E20"/>
    <mergeCell ref="B21:E22"/>
    <mergeCell ref="F22:G22"/>
    <mergeCell ref="B23:G27"/>
    <mergeCell ref="B12:C12"/>
    <mergeCell ref="B13:C13"/>
    <mergeCell ref="D13:E13"/>
    <mergeCell ref="F13:G13"/>
    <mergeCell ref="B14:D14"/>
    <mergeCell ref="B15:D15"/>
    <mergeCell ref="B16:D16"/>
  </mergeCells>
  <drawing r:id="rId1"/>
</worksheet>
</file>